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gustavo_goncalves_minervafoods_com/Documents/Área de Trabalho/"/>
    </mc:Choice>
  </mc:AlternateContent>
  <xr:revisionPtr revIDLastSave="50" documentId="8_{25C9EADB-EA07-4B98-A747-EB4138E881F7}" xr6:coauthVersionLast="47" xr6:coauthVersionMax="47" xr10:uidLastSave="{F3A35300-3407-4410-BAA7-FBEC3E77882A}"/>
  <bookViews>
    <workbookView xWindow="-108" yWindow="-108" windowWidth="23256" windowHeight="12456" tabRatio="937" firstSheet="8" activeTab="17" xr2:uid="{9F606C12-E6A2-47C5-B1DA-300BDC9EAE1C}"/>
  </bookViews>
  <sheets>
    <sheet name="view_plan (5)" sheetId="35" state="hidden" r:id="rId1"/>
    <sheet name="view_plan (4)" sheetId="28" state="hidden" r:id="rId2"/>
    <sheet name="view_plan (3)" sheetId="27" state="hidden" r:id="rId3"/>
    <sheet name="view_plan (2)" sheetId="26" state="hidden" r:id="rId4"/>
    <sheet name="tab_projetos" sheetId="7" r:id="rId5"/>
    <sheet name="tab_recursos" sheetId="8" r:id="rId6"/>
    <sheet name="tab_disponibilidade" sheetId="16" r:id="rId7"/>
    <sheet name="tab_squad" sheetId="9" r:id="rId8"/>
    <sheet name="tab_tag" sheetId="11" r:id="rId9"/>
    <sheet name="tab_classificacao" sheetId="12" r:id="rId10"/>
    <sheet name="tab_complexidade" sheetId="13" r:id="rId11"/>
    <sheet name="tab_etapas" sheetId="14" r:id="rId12"/>
    <sheet name="tab_categoria_ausencia" sheetId="18" r:id="rId13"/>
    <sheet name="tab_regras" sheetId="15" r:id="rId14"/>
    <sheet name="tab_tipo_projeto" sheetId="40" r:id="rId15"/>
    <sheet name="tab_simulacao" sheetId="32" r:id="rId16"/>
    <sheet name="tab_config" sheetId="33" r:id="rId17"/>
    <sheet name="tab_matriz" sheetId="34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0" l="1"/>
  <c r="A3" i="40"/>
  <c r="A2" i="40"/>
  <c r="A7" i="18"/>
  <c r="A4" i="16"/>
  <c r="A6" i="18"/>
  <c r="A3" i="16"/>
  <c r="A9" i="7"/>
  <c r="A8" i="7"/>
  <c r="A7" i="7"/>
  <c r="A48" i="8"/>
  <c r="A47" i="8"/>
  <c r="C42" i="35" l="1" a="1"/>
  <c r="C42" i="35" s="1"/>
  <c r="B41" i="35"/>
  <c r="C40" i="35" a="1"/>
  <c r="C40" i="35" s="1"/>
  <c r="C39" i="35" a="1"/>
  <c r="C39" i="35" s="1"/>
  <c r="C38" i="35" a="1"/>
  <c r="C38" i="35" s="1"/>
  <c r="C37" i="35" a="1"/>
  <c r="C37" i="35" s="1"/>
  <c r="C36" i="35" a="1"/>
  <c r="C36" i="35" s="1"/>
  <c r="C35" i="35" a="1"/>
  <c r="C35" i="35" s="1"/>
  <c r="C34" i="35" a="1"/>
  <c r="C34" i="35" s="1"/>
  <c r="B33" i="35"/>
  <c r="C32" i="35" a="1"/>
  <c r="C32" i="35" s="1"/>
  <c r="C31" i="35" a="1"/>
  <c r="C31" i="35" s="1"/>
  <c r="C30" i="35" a="1"/>
  <c r="C30" i="35" s="1"/>
  <c r="C29" i="35" a="1"/>
  <c r="C29" i="35" s="1"/>
  <c r="C28" i="35" a="1"/>
  <c r="C28" i="35" s="1"/>
  <c r="B27" i="35"/>
  <c r="C26" i="35" a="1"/>
  <c r="C26" i="35" s="1"/>
  <c r="C25" i="35" a="1"/>
  <c r="C25" i="35" s="1"/>
  <c r="C24" i="35" a="1"/>
  <c r="C24" i="35" s="1"/>
  <c r="C23" i="35" a="1"/>
  <c r="C23" i="35" s="1"/>
  <c r="C22" i="35" a="1"/>
  <c r="C22" i="35" s="1"/>
  <c r="C21" i="35" a="1"/>
  <c r="C21" i="35" s="1"/>
  <c r="C20" i="35" a="1"/>
  <c r="C20" i="35" s="1"/>
  <c r="B19" i="35"/>
  <c r="C6" i="35" a="1"/>
  <c r="C6" i="35" s="1"/>
  <c r="A6" i="35" a="1"/>
  <c r="AO12" i="35" s="1" a="1"/>
  <c r="AO12" i="35" s="1"/>
  <c r="AS12" i="35" l="1" a="1"/>
  <c r="AS12" i="35" s="1"/>
  <c r="AL7" i="35" a="1"/>
  <c r="AL7" i="35" s="1"/>
  <c r="U8" i="35" a="1"/>
  <c r="U8" i="35" s="1"/>
  <c r="G7" i="35" a="1"/>
  <c r="G7" i="35" s="1"/>
  <c r="S7" i="35" a="1"/>
  <c r="S7" i="35" s="1"/>
  <c r="AE7" i="35" a="1"/>
  <c r="AE7" i="35" s="1"/>
  <c r="AQ7" i="35" a="1"/>
  <c r="AQ7" i="35" s="1"/>
  <c r="BC7" i="35" a="1"/>
  <c r="BC7" i="35" s="1"/>
  <c r="BO7" i="35" a="1"/>
  <c r="BO7" i="35" s="1"/>
  <c r="N8" i="35" a="1"/>
  <c r="N8" i="35" s="1"/>
  <c r="Z8" i="35" a="1"/>
  <c r="Z8" i="35" s="1"/>
  <c r="AL8" i="35" a="1"/>
  <c r="AL8" i="35" s="1"/>
  <c r="AX8" i="35" a="1"/>
  <c r="AX8" i="35" s="1"/>
  <c r="BJ8" i="35" a="1"/>
  <c r="BJ8" i="35" s="1"/>
  <c r="I9" i="35" a="1"/>
  <c r="I9" i="35" s="1"/>
  <c r="U9" i="35" a="1"/>
  <c r="U9" i="35" s="1"/>
  <c r="AG9" i="35" a="1"/>
  <c r="AG9" i="35" s="1"/>
  <c r="AS9" i="35" a="1"/>
  <c r="AS9" i="35" s="1"/>
  <c r="BE9" i="35" a="1"/>
  <c r="BE9" i="35" s="1"/>
  <c r="BQ9" i="35" a="1"/>
  <c r="BQ9" i="35" s="1"/>
  <c r="P10" i="35" a="1"/>
  <c r="P10" i="35" s="1"/>
  <c r="AB10" i="35" a="1"/>
  <c r="AB10" i="35" s="1"/>
  <c r="AN10" i="35" a="1"/>
  <c r="AN10" i="35" s="1"/>
  <c r="AZ10" i="35" a="1"/>
  <c r="AZ10" i="35" s="1"/>
  <c r="BN10" i="35" a="1"/>
  <c r="BN10" i="35" s="1"/>
  <c r="P11" i="35" a="1"/>
  <c r="P11" i="35" s="1"/>
  <c r="AH11" i="35" a="1"/>
  <c r="AH11" i="35" s="1"/>
  <c r="AZ11" i="35" a="1"/>
  <c r="AZ11" i="35" s="1"/>
  <c r="H12" i="35" a="1"/>
  <c r="H12" i="35" s="1"/>
  <c r="AF12" i="35" a="1"/>
  <c r="AF12" i="35" s="1"/>
  <c r="BD12" i="35" a="1"/>
  <c r="BD12" i="35" s="1"/>
  <c r="O8" i="35" a="1"/>
  <c r="O8" i="35" s="1"/>
  <c r="AT9" i="35" a="1"/>
  <c r="AT9" i="35" s="1"/>
  <c r="BA10" i="35" a="1"/>
  <c r="BA10" i="35" s="1"/>
  <c r="BE12" i="35" a="1"/>
  <c r="BE12" i="35" s="1"/>
  <c r="I7" i="35" a="1"/>
  <c r="I7" i="35" s="1"/>
  <c r="BQ7" i="35" a="1"/>
  <c r="BQ7" i="35" s="1"/>
  <c r="AN8" i="35" a="1"/>
  <c r="AN8" i="35" s="1"/>
  <c r="AZ8" i="35" a="1"/>
  <c r="AZ8" i="35" s="1"/>
  <c r="BL8" i="35" a="1"/>
  <c r="BL8" i="35" s="1"/>
  <c r="K9" i="35" a="1"/>
  <c r="K9" i="35" s="1"/>
  <c r="W9" i="35" a="1"/>
  <c r="W9" i="35" s="1"/>
  <c r="AI9" i="35" a="1"/>
  <c r="AI9" i="35" s="1"/>
  <c r="AU9" i="35" a="1"/>
  <c r="AU9" i="35" s="1"/>
  <c r="BG9" i="35" a="1"/>
  <c r="BG9" i="35" s="1"/>
  <c r="BS9" i="35" a="1"/>
  <c r="BS9" i="35" s="1"/>
  <c r="R10" i="35" a="1"/>
  <c r="R10" i="35" s="1"/>
  <c r="AD10" i="35" a="1"/>
  <c r="AD10" i="35" s="1"/>
  <c r="AP10" i="35" a="1"/>
  <c r="AP10" i="35" s="1"/>
  <c r="BB10" i="35" a="1"/>
  <c r="BB10" i="35" s="1"/>
  <c r="BP10" i="35" a="1"/>
  <c r="BP10" i="35" s="1"/>
  <c r="S11" i="35" a="1"/>
  <c r="S11" i="35" s="1"/>
  <c r="AK11" i="35" a="1"/>
  <c r="AK11" i="35" s="1"/>
  <c r="BC11" i="35" a="1"/>
  <c r="BC11" i="35" s="1"/>
  <c r="K12" i="35" a="1"/>
  <c r="K12" i="35" s="1"/>
  <c r="AI12" i="35" a="1"/>
  <c r="AI12" i="35" s="1"/>
  <c r="BG12" i="35" a="1"/>
  <c r="BG12" i="35" s="1"/>
  <c r="T7" i="35" a="1"/>
  <c r="T7" i="35" s="1"/>
  <c r="BK8" i="35" a="1"/>
  <c r="BK8" i="35" s="1"/>
  <c r="BR9" i="35" a="1"/>
  <c r="BR9" i="35" s="1"/>
  <c r="AC10" i="35" a="1"/>
  <c r="AC10" i="35" s="1"/>
  <c r="R11" i="35" a="1"/>
  <c r="R11" i="35" s="1"/>
  <c r="I12" i="35" a="1"/>
  <c r="I12" i="35" s="1"/>
  <c r="U7" i="35" a="1"/>
  <c r="U7" i="35" s="1"/>
  <c r="P8" i="35" a="1"/>
  <c r="P8" i="35" s="1"/>
  <c r="J7" i="35" a="1"/>
  <c r="J7" i="35" s="1"/>
  <c r="V7" i="35" a="1"/>
  <c r="V7" i="35" s="1"/>
  <c r="AH7" i="35" a="1"/>
  <c r="AH7" i="35" s="1"/>
  <c r="AT7" i="35" a="1"/>
  <c r="AT7" i="35" s="1"/>
  <c r="BF7" i="35" a="1"/>
  <c r="BF7" i="35" s="1"/>
  <c r="BR7" i="35" a="1"/>
  <c r="BR7" i="35" s="1"/>
  <c r="Q8" i="35" a="1"/>
  <c r="Q8" i="35" s="1"/>
  <c r="AC8" i="35" a="1"/>
  <c r="AC8" i="35" s="1"/>
  <c r="BA8" i="35" a="1"/>
  <c r="BA8" i="35" s="1"/>
  <c r="X9" i="35" a="1"/>
  <c r="X9" i="35" s="1"/>
  <c r="AJ9" i="35" a="1"/>
  <c r="AJ9" i="35" s="1"/>
  <c r="AV9" i="35" a="1"/>
  <c r="AV9" i="35" s="1"/>
  <c r="BH9" i="35" a="1"/>
  <c r="BH9" i="35" s="1"/>
  <c r="G10" i="35" a="1"/>
  <c r="G10" i="35" s="1"/>
  <c r="S10" i="35" a="1"/>
  <c r="S10" i="35" s="1"/>
  <c r="AE10" i="35" a="1"/>
  <c r="AE10" i="35" s="1"/>
  <c r="AQ10" i="35" a="1"/>
  <c r="AQ10" i="35" s="1"/>
  <c r="BC10" i="35" a="1"/>
  <c r="BC10" i="35" s="1"/>
  <c r="BQ10" i="35" a="1"/>
  <c r="BQ10" i="35" s="1"/>
  <c r="T11" i="35" a="1"/>
  <c r="T11" i="35" s="1"/>
  <c r="AL11" i="35" a="1"/>
  <c r="AL11" i="35" s="1"/>
  <c r="BD11" i="35" a="1"/>
  <c r="BD11" i="35" s="1"/>
  <c r="N12" i="35" a="1"/>
  <c r="N12" i="35" s="1"/>
  <c r="AL12" i="35" a="1"/>
  <c r="AL12" i="35" s="1"/>
  <c r="AR7" i="35" a="1"/>
  <c r="AR7" i="35" s="1"/>
  <c r="AM8" i="35" a="1"/>
  <c r="AM8" i="35" s="1"/>
  <c r="V9" i="35" a="1"/>
  <c r="V9" i="35" s="1"/>
  <c r="BF9" i="35" a="1"/>
  <c r="BF9" i="35" s="1"/>
  <c r="Q10" i="35" a="1"/>
  <c r="Q10" i="35" s="1"/>
  <c r="AO10" i="35" a="1"/>
  <c r="AO10" i="35" s="1"/>
  <c r="BO10" i="35" a="1"/>
  <c r="BO10" i="35" s="1"/>
  <c r="AJ11" i="35" a="1"/>
  <c r="AJ11" i="35" s="1"/>
  <c r="BB11" i="35" a="1"/>
  <c r="BB11" i="35" s="1"/>
  <c r="AG12" i="35" a="1"/>
  <c r="AG12" i="35" s="1"/>
  <c r="AG7" i="35" a="1"/>
  <c r="AG7" i="35" s="1"/>
  <c r="AS7" i="35" a="1"/>
  <c r="AS7" i="35" s="1"/>
  <c r="BE7" i="35" a="1"/>
  <c r="BE7" i="35" s="1"/>
  <c r="AB8" i="35" a="1"/>
  <c r="AB8" i="35" s="1"/>
  <c r="AO8" i="35" a="1"/>
  <c r="AO8" i="35" s="1"/>
  <c r="BM8" i="35" a="1"/>
  <c r="BM8" i="35" s="1"/>
  <c r="L9" i="35" a="1"/>
  <c r="L9" i="35" s="1"/>
  <c r="K7" i="35" a="1"/>
  <c r="K7" i="35" s="1"/>
  <c r="W7" i="35" a="1"/>
  <c r="W7" i="35" s="1"/>
  <c r="AI7" i="35" a="1"/>
  <c r="AI7" i="35" s="1"/>
  <c r="AU7" i="35" a="1"/>
  <c r="AU7" i="35" s="1"/>
  <c r="BG7" i="35" a="1"/>
  <c r="BG7" i="35" s="1"/>
  <c r="BS7" i="35" a="1"/>
  <c r="BS7" i="35" s="1"/>
  <c r="R8" i="35" a="1"/>
  <c r="R8" i="35" s="1"/>
  <c r="AD8" i="35" a="1"/>
  <c r="AD8" i="35" s="1"/>
  <c r="AP8" i="35" a="1"/>
  <c r="AP8" i="35" s="1"/>
  <c r="BB8" i="35" a="1"/>
  <c r="BB8" i="35" s="1"/>
  <c r="BN8" i="35" a="1"/>
  <c r="BN8" i="35" s="1"/>
  <c r="M9" i="35" a="1"/>
  <c r="M9" i="35" s="1"/>
  <c r="Y9" i="35" a="1"/>
  <c r="Y9" i="35" s="1"/>
  <c r="AK9" i="35" a="1"/>
  <c r="AK9" i="35" s="1"/>
  <c r="AW9" i="35" a="1"/>
  <c r="AW9" i="35" s="1"/>
  <c r="BI9" i="35" a="1"/>
  <c r="BI9" i="35" s="1"/>
  <c r="H10" i="35" a="1"/>
  <c r="H10" i="35" s="1"/>
  <c r="T10" i="35" a="1"/>
  <c r="T10" i="35" s="1"/>
  <c r="AF10" i="35" a="1"/>
  <c r="AF10" i="35" s="1"/>
  <c r="AR10" i="35" a="1"/>
  <c r="AR10" i="35" s="1"/>
  <c r="BD10" i="35" a="1"/>
  <c r="BD10" i="35" s="1"/>
  <c r="BS10" i="35" a="1"/>
  <c r="BS10" i="35" s="1"/>
  <c r="V11" i="35" a="1"/>
  <c r="V11" i="35" s="1"/>
  <c r="AN11" i="35" a="1"/>
  <c r="AN11" i="35" s="1"/>
  <c r="BF11" i="35" a="1"/>
  <c r="BF11" i="35" s="1"/>
  <c r="O12" i="35" a="1"/>
  <c r="O12" i="35" s="1"/>
  <c r="AM12" i="35" a="1"/>
  <c r="AM12" i="35" s="1"/>
  <c r="BD7" i="35" a="1"/>
  <c r="BD7" i="35" s="1"/>
  <c r="L7" i="35" a="1"/>
  <c r="L7" i="35" s="1"/>
  <c r="X7" i="35" a="1"/>
  <c r="X7" i="35" s="1"/>
  <c r="AJ7" i="35" a="1"/>
  <c r="AJ7" i="35" s="1"/>
  <c r="AV7" i="35" a="1"/>
  <c r="AV7" i="35" s="1"/>
  <c r="BH7" i="35" a="1"/>
  <c r="BH7" i="35" s="1"/>
  <c r="G8" i="35" a="1"/>
  <c r="G8" i="35" s="1"/>
  <c r="S8" i="35" a="1"/>
  <c r="S8" i="35" s="1"/>
  <c r="AE8" i="35" a="1"/>
  <c r="AE8" i="35" s="1"/>
  <c r="AQ8" i="35" a="1"/>
  <c r="AQ8" i="35" s="1"/>
  <c r="BC8" i="35" a="1"/>
  <c r="BC8" i="35" s="1"/>
  <c r="BO8" i="35" a="1"/>
  <c r="BO8" i="35" s="1"/>
  <c r="N9" i="35" a="1"/>
  <c r="N9" i="35" s="1"/>
  <c r="Z9" i="35" a="1"/>
  <c r="Z9" i="35" s="1"/>
  <c r="AL9" i="35" a="1"/>
  <c r="AL9" i="35" s="1"/>
  <c r="AX9" i="35" a="1"/>
  <c r="AX9" i="35" s="1"/>
  <c r="BJ9" i="35" a="1"/>
  <c r="BJ9" i="35" s="1"/>
  <c r="I10" i="35" a="1"/>
  <c r="I10" i="35" s="1"/>
  <c r="U10" i="35" a="1"/>
  <c r="U10" i="35" s="1"/>
  <c r="AG10" i="35" a="1"/>
  <c r="AG10" i="35" s="1"/>
  <c r="AS10" i="35" a="1"/>
  <c r="AS10" i="35" s="1"/>
  <c r="BE10" i="35" a="1"/>
  <c r="BE10" i="35" s="1"/>
  <c r="G11" i="35" a="1"/>
  <c r="G11" i="35" s="1"/>
  <c r="X11" i="35" a="1"/>
  <c r="X11" i="35" s="1"/>
  <c r="AP11" i="35" a="1"/>
  <c r="AP11" i="35" s="1"/>
  <c r="BH11" i="35" a="1"/>
  <c r="BH11" i="35" s="1"/>
  <c r="Q12" i="35" a="1"/>
  <c r="Q12" i="35" s="1"/>
  <c r="BK12" i="35" a="1"/>
  <c r="BK12" i="35" s="1"/>
  <c r="BQ12" i="35" a="1"/>
  <c r="BQ12" i="35" s="1"/>
  <c r="BP12" i="35" a="1"/>
  <c r="BP12" i="35" s="1"/>
  <c r="BJ12" i="35" a="1"/>
  <c r="BJ12" i="35" s="1"/>
  <c r="BO12" i="35" a="1"/>
  <c r="BO12" i="35" s="1"/>
  <c r="BI12" i="35" a="1"/>
  <c r="BI12" i="35" s="1"/>
  <c r="BC12" i="35" a="1"/>
  <c r="BC12" i="35" s="1"/>
  <c r="AW12" i="35" a="1"/>
  <c r="AW12" i="35" s="1"/>
  <c r="AQ12" i="35" a="1"/>
  <c r="AQ12" i="35" s="1"/>
  <c r="AK12" i="35" a="1"/>
  <c r="AK12" i="35" s="1"/>
  <c r="AE12" i="35" a="1"/>
  <c r="AE12" i="35" s="1"/>
  <c r="Y12" i="35" a="1"/>
  <c r="Y12" i="35" s="1"/>
  <c r="S12" i="35" a="1"/>
  <c r="S12" i="35" s="1"/>
  <c r="M12" i="35" a="1"/>
  <c r="M12" i="35" s="1"/>
  <c r="G12" i="35" a="1"/>
  <c r="G12" i="35" s="1"/>
  <c r="BN11" i="35" a="1"/>
  <c r="BN11" i="35" s="1"/>
  <c r="BN12" i="35" a="1"/>
  <c r="BN12" i="35" s="1"/>
  <c r="AV12" i="35" a="1"/>
  <c r="AV12" i="35" s="1"/>
  <c r="BS11" i="35" a="1"/>
  <c r="BS11" i="35" s="1"/>
  <c r="AU11" i="35" a="1"/>
  <c r="AU11" i="35" s="1"/>
  <c r="AC11" i="35" a="1"/>
  <c r="AC11" i="35" s="1"/>
  <c r="BR10" i="35" a="1"/>
  <c r="BR10" i="35" s="1"/>
  <c r="BH12" i="35" a="1"/>
  <c r="BH12" i="35" s="1"/>
  <c r="BB12" i="35" a="1"/>
  <c r="BB12" i="35" s="1"/>
  <c r="AP12" i="35" a="1"/>
  <c r="AP12" i="35" s="1"/>
  <c r="AJ12" i="35" a="1"/>
  <c r="AJ12" i="35" s="1"/>
  <c r="AD12" i="35" a="1"/>
  <c r="AD12" i="35" s="1"/>
  <c r="X12" i="35" a="1"/>
  <c r="X12" i="35" s="1"/>
  <c r="R12" i="35" a="1"/>
  <c r="R12" i="35" s="1"/>
  <c r="L12" i="35" a="1"/>
  <c r="L12" i="35" s="1"/>
  <c r="BM11" i="35" a="1"/>
  <c r="BM11" i="35" s="1"/>
  <c r="BG11" i="35" a="1"/>
  <c r="BG11" i="35" s="1"/>
  <c r="BA11" i="35" a="1"/>
  <c r="BA11" i="35" s="1"/>
  <c r="AO11" i="35" a="1"/>
  <c r="AO11" i="35" s="1"/>
  <c r="AI11" i="35" a="1"/>
  <c r="AI11" i="35" s="1"/>
  <c r="W11" i="35" a="1"/>
  <c r="W11" i="35" s="1"/>
  <c r="Q11" i="35" a="1"/>
  <c r="Q11" i="35" s="1"/>
  <c r="K11" i="35" a="1"/>
  <c r="K11" i="35" s="1"/>
  <c r="BL10" i="35" a="1"/>
  <c r="BL10" i="35" s="1"/>
  <c r="BF10" i="35" a="1"/>
  <c r="BF10" i="35" s="1"/>
  <c r="A6" i="35"/>
  <c r="BM12" i="35" a="1"/>
  <c r="BM12" i="35" s="1"/>
  <c r="BS12" i="35" a="1"/>
  <c r="BS12" i="35" s="1"/>
  <c r="BR12" i="35" a="1"/>
  <c r="BR12" i="35" s="1"/>
  <c r="AT12" i="35" a="1"/>
  <c r="AT12" i="35" s="1"/>
  <c r="P12" i="35" a="1"/>
  <c r="P12" i="35" s="1"/>
  <c r="BQ11" i="35" a="1"/>
  <c r="BQ11" i="35" s="1"/>
  <c r="AY11" i="35" a="1"/>
  <c r="AY11" i="35" s="1"/>
  <c r="AM11" i="35" a="1"/>
  <c r="AM11" i="35" s="1"/>
  <c r="U11" i="35" a="1"/>
  <c r="U11" i="35" s="1"/>
  <c r="BL12" i="35" a="1"/>
  <c r="BL12" i="35" s="1"/>
  <c r="BF12" i="35" a="1"/>
  <c r="BF12" i="35" s="1"/>
  <c r="AZ12" i="35" a="1"/>
  <c r="AZ12" i="35" s="1"/>
  <c r="AN12" i="35" a="1"/>
  <c r="AN12" i="35" s="1"/>
  <c r="AH12" i="35" a="1"/>
  <c r="AH12" i="35" s="1"/>
  <c r="AB12" i="35" a="1"/>
  <c r="AB12" i="35" s="1"/>
  <c r="V12" i="35" a="1"/>
  <c r="V12" i="35" s="1"/>
  <c r="J12" i="35" a="1"/>
  <c r="J12" i="35" s="1"/>
  <c r="BK11" i="35" a="1"/>
  <c r="BK11" i="35" s="1"/>
  <c r="BE11" i="35" a="1"/>
  <c r="BE11" i="35" s="1"/>
  <c r="AS11" i="35" a="1"/>
  <c r="AS11" i="35" s="1"/>
  <c r="AG11" i="35" a="1"/>
  <c r="AG11" i="35" s="1"/>
  <c r="AA11" i="35" a="1"/>
  <c r="AA11" i="35" s="1"/>
  <c r="O11" i="35" a="1"/>
  <c r="O11" i="35" s="1"/>
  <c r="M7" i="35" a="1"/>
  <c r="M7" i="35" s="1"/>
  <c r="Y7" i="35" a="1"/>
  <c r="Y7" i="35" s="1"/>
  <c r="AK7" i="35" a="1"/>
  <c r="AK7" i="35" s="1"/>
  <c r="AW7" i="35" a="1"/>
  <c r="AW7" i="35" s="1"/>
  <c r="BI7" i="35" a="1"/>
  <c r="BI7" i="35" s="1"/>
  <c r="H8" i="35" a="1"/>
  <c r="H8" i="35" s="1"/>
  <c r="T8" i="35" a="1"/>
  <c r="T8" i="35" s="1"/>
  <c r="AF8" i="35" a="1"/>
  <c r="AF8" i="35" s="1"/>
  <c r="AR8" i="35" a="1"/>
  <c r="AR8" i="35" s="1"/>
  <c r="BD8" i="35" a="1"/>
  <c r="BD8" i="35" s="1"/>
  <c r="BP8" i="35" a="1"/>
  <c r="BP8" i="35" s="1"/>
  <c r="O9" i="35" a="1"/>
  <c r="O9" i="35" s="1"/>
  <c r="AA9" i="35" a="1"/>
  <c r="AA9" i="35" s="1"/>
  <c r="AM9" i="35" a="1"/>
  <c r="AM9" i="35" s="1"/>
  <c r="AY9" i="35" a="1"/>
  <c r="AY9" i="35" s="1"/>
  <c r="BK9" i="35" a="1"/>
  <c r="BK9" i="35" s="1"/>
  <c r="J10" i="35" a="1"/>
  <c r="J10" i="35" s="1"/>
  <c r="V10" i="35" a="1"/>
  <c r="V10" i="35" s="1"/>
  <c r="AH10" i="35" a="1"/>
  <c r="AH10" i="35" s="1"/>
  <c r="AT10" i="35" a="1"/>
  <c r="AT10" i="35" s="1"/>
  <c r="BG10" i="35" a="1"/>
  <c r="BG10" i="35" s="1"/>
  <c r="H11" i="35" a="1"/>
  <c r="H11" i="35" s="1"/>
  <c r="Y11" i="35" a="1"/>
  <c r="Y11" i="35" s="1"/>
  <c r="AQ11" i="35" a="1"/>
  <c r="AQ11" i="35" s="1"/>
  <c r="BI11" i="35" a="1"/>
  <c r="BI11" i="35" s="1"/>
  <c r="T12" i="35" a="1"/>
  <c r="T12" i="35" s="1"/>
  <c r="AR12" i="35" a="1"/>
  <c r="AR12" i="35" s="1"/>
  <c r="H7" i="35" a="1"/>
  <c r="H7" i="35" s="1"/>
  <c r="J9" i="35" a="1"/>
  <c r="J9" i="35" s="1"/>
  <c r="BJ7" i="35" a="1"/>
  <c r="BJ7" i="35" s="1"/>
  <c r="BQ8" i="35" a="1"/>
  <c r="BQ8" i="35" s="1"/>
  <c r="AZ9" i="35" a="1"/>
  <c r="AZ9" i="35" s="1"/>
  <c r="AU10" i="35" a="1"/>
  <c r="AU10" i="35" s="1"/>
  <c r="U12" i="35" a="1"/>
  <c r="U12" i="35" s="1"/>
  <c r="O7" i="35" a="1"/>
  <c r="O7" i="35" s="1"/>
  <c r="AA7" i="35" a="1"/>
  <c r="AA7" i="35" s="1"/>
  <c r="AM7" i="35" a="1"/>
  <c r="AM7" i="35" s="1"/>
  <c r="AY7" i="35" a="1"/>
  <c r="AY7" i="35" s="1"/>
  <c r="BK7" i="35" a="1"/>
  <c r="BK7" i="35" s="1"/>
  <c r="J8" i="35" a="1"/>
  <c r="J8" i="35" s="1"/>
  <c r="V8" i="35" a="1"/>
  <c r="V8" i="35" s="1"/>
  <c r="AH8" i="35" a="1"/>
  <c r="AH8" i="35" s="1"/>
  <c r="AT8" i="35" a="1"/>
  <c r="AT8" i="35" s="1"/>
  <c r="BF8" i="35" a="1"/>
  <c r="BF8" i="35" s="1"/>
  <c r="BR8" i="35" a="1"/>
  <c r="BR8" i="35" s="1"/>
  <c r="Q9" i="35" a="1"/>
  <c r="Q9" i="35" s="1"/>
  <c r="AC9" i="35" a="1"/>
  <c r="AC9" i="35" s="1"/>
  <c r="AO9" i="35" a="1"/>
  <c r="AO9" i="35" s="1"/>
  <c r="BA9" i="35" a="1"/>
  <c r="BA9" i="35" s="1"/>
  <c r="BM9" i="35" a="1"/>
  <c r="BM9" i="35" s="1"/>
  <c r="L10" i="35" a="1"/>
  <c r="L10" i="35" s="1"/>
  <c r="X10" i="35" a="1"/>
  <c r="X10" i="35" s="1"/>
  <c r="AJ10" i="35" a="1"/>
  <c r="AJ10" i="35" s="1"/>
  <c r="AV10" i="35" a="1"/>
  <c r="AV10" i="35" s="1"/>
  <c r="BI10" i="35" a="1"/>
  <c r="BI10" i="35" s="1"/>
  <c r="J11" i="35" a="1"/>
  <c r="J11" i="35" s="1"/>
  <c r="AB11" i="35" a="1"/>
  <c r="AB11" i="35" s="1"/>
  <c r="AT11" i="35" a="1"/>
  <c r="AT11" i="35" s="1"/>
  <c r="BL11" i="35" a="1"/>
  <c r="BL11" i="35" s="1"/>
  <c r="W12" i="35" a="1"/>
  <c r="W12" i="35" s="1"/>
  <c r="AU12" i="35" a="1"/>
  <c r="AU12" i="35" s="1"/>
  <c r="BP7" i="35" a="1"/>
  <c r="BP7" i="35" s="1"/>
  <c r="Z7" i="35" a="1"/>
  <c r="Z7" i="35" s="1"/>
  <c r="BE8" i="35" a="1"/>
  <c r="BE8" i="35" s="1"/>
  <c r="K10" i="35" a="1"/>
  <c r="K10" i="35" s="1"/>
  <c r="Z11" i="35" a="1"/>
  <c r="Z11" i="35" s="1"/>
  <c r="P7" i="35" a="1"/>
  <c r="P7" i="35" s="1"/>
  <c r="AN7" i="35" a="1"/>
  <c r="AN7" i="35" s="1"/>
  <c r="AZ7" i="35" a="1"/>
  <c r="AZ7" i="35" s="1"/>
  <c r="BL7" i="35" a="1"/>
  <c r="BL7" i="35" s="1"/>
  <c r="K8" i="35" a="1"/>
  <c r="K8" i="35" s="1"/>
  <c r="W8" i="35" a="1"/>
  <c r="W8" i="35" s="1"/>
  <c r="AI8" i="35" a="1"/>
  <c r="AI8" i="35" s="1"/>
  <c r="AU8" i="35" a="1"/>
  <c r="AU8" i="35" s="1"/>
  <c r="BG8" i="35" a="1"/>
  <c r="BG8" i="35" s="1"/>
  <c r="BS8" i="35" a="1"/>
  <c r="BS8" i="35" s="1"/>
  <c r="R9" i="35" a="1"/>
  <c r="R9" i="35" s="1"/>
  <c r="AD9" i="35" a="1"/>
  <c r="AD9" i="35" s="1"/>
  <c r="AP9" i="35" a="1"/>
  <c r="AP9" i="35" s="1"/>
  <c r="BB9" i="35" a="1"/>
  <c r="BB9" i="35" s="1"/>
  <c r="BN9" i="35" a="1"/>
  <c r="BN9" i="35" s="1"/>
  <c r="M10" i="35" a="1"/>
  <c r="M10" i="35" s="1"/>
  <c r="Y10" i="35" a="1"/>
  <c r="Y10" i="35" s="1"/>
  <c r="AK10" i="35" a="1"/>
  <c r="AK10" i="35" s="1"/>
  <c r="AW10" i="35" a="1"/>
  <c r="AW10" i="35" s="1"/>
  <c r="BJ10" i="35" a="1"/>
  <c r="BJ10" i="35" s="1"/>
  <c r="L11" i="35" a="1"/>
  <c r="L11" i="35" s="1"/>
  <c r="AD11" i="35" a="1"/>
  <c r="AD11" i="35" s="1"/>
  <c r="AV11" i="35" a="1"/>
  <c r="AV11" i="35" s="1"/>
  <c r="BO11" i="35" a="1"/>
  <c r="BO11" i="35" s="1"/>
  <c r="Z12" i="35" a="1"/>
  <c r="Z12" i="35" s="1"/>
  <c r="AX12" i="35" a="1"/>
  <c r="AX12" i="35" s="1"/>
  <c r="AY8" i="35" a="1"/>
  <c r="AY8" i="35" s="1"/>
  <c r="AX7" i="35" a="1"/>
  <c r="AX7" i="35" s="1"/>
  <c r="AS8" i="35" a="1"/>
  <c r="AS8" i="35" s="1"/>
  <c r="AB9" i="35" a="1"/>
  <c r="AB9" i="35" s="1"/>
  <c r="AI10" i="35" a="1"/>
  <c r="AI10" i="35" s="1"/>
  <c r="AR11" i="35" a="1"/>
  <c r="AR11" i="35" s="1"/>
  <c r="Q7" i="35" a="1"/>
  <c r="Q7" i="35" s="1"/>
  <c r="AC7" i="35" a="1"/>
  <c r="AC7" i="35" s="1"/>
  <c r="L8" i="35" a="1"/>
  <c r="L8" i="35" s="1"/>
  <c r="BH8" i="35" a="1"/>
  <c r="BH8" i="35" s="1"/>
  <c r="AE9" i="35" a="1"/>
  <c r="AE9" i="35" s="1"/>
  <c r="N10" i="35" a="1"/>
  <c r="N10" i="35" s="1"/>
  <c r="AX10" i="35" a="1"/>
  <c r="AX10" i="35" s="1"/>
  <c r="M11" i="35" a="1"/>
  <c r="M11" i="35" s="1"/>
  <c r="AW11" i="35" a="1"/>
  <c r="AW11" i="35" s="1"/>
  <c r="BP11" i="35" a="1"/>
  <c r="BP11" i="35" s="1"/>
  <c r="AA12" i="35" a="1"/>
  <c r="AA12" i="35" s="1"/>
  <c r="AY12" i="35" a="1"/>
  <c r="AY12" i="35" s="1"/>
  <c r="AF7" i="35" a="1"/>
  <c r="AF7" i="35" s="1"/>
  <c r="AA8" i="35" a="1"/>
  <c r="AA8" i="35" s="1"/>
  <c r="AH9" i="35" a="1"/>
  <c r="AH9" i="35" s="1"/>
  <c r="N7" i="35" a="1"/>
  <c r="N7" i="35" s="1"/>
  <c r="I8" i="35" a="1"/>
  <c r="I8" i="35" s="1"/>
  <c r="AG8" i="35" a="1"/>
  <c r="AG8" i="35" s="1"/>
  <c r="P9" i="35" a="1"/>
  <c r="P9" i="35" s="1"/>
  <c r="AN9" i="35" a="1"/>
  <c r="AN9" i="35" s="1"/>
  <c r="BL9" i="35" a="1"/>
  <c r="BL9" i="35" s="1"/>
  <c r="W10" i="35" a="1"/>
  <c r="W10" i="35" s="1"/>
  <c r="BH10" i="35" a="1"/>
  <c r="BH10" i="35" s="1"/>
  <c r="I11" i="35" a="1"/>
  <c r="I11" i="35" s="1"/>
  <c r="BJ11" i="35" a="1"/>
  <c r="BJ11" i="35" s="1"/>
  <c r="AB7" i="35" a="1"/>
  <c r="AB7" i="35" s="1"/>
  <c r="AO7" i="35" a="1"/>
  <c r="AO7" i="35" s="1"/>
  <c r="BA7" i="35" a="1"/>
  <c r="BA7" i="35" s="1"/>
  <c r="BM7" i="35" a="1"/>
  <c r="BM7" i="35" s="1"/>
  <c r="X8" i="35" a="1"/>
  <c r="X8" i="35" s="1"/>
  <c r="AJ8" i="35" a="1"/>
  <c r="AJ8" i="35" s="1"/>
  <c r="AV8" i="35" a="1"/>
  <c r="AV8" i="35" s="1"/>
  <c r="G9" i="35" a="1"/>
  <c r="G9" i="35" s="1"/>
  <c r="S9" i="35" a="1"/>
  <c r="S9" i="35" s="1"/>
  <c r="AQ9" i="35" a="1"/>
  <c r="AQ9" i="35" s="1"/>
  <c r="BC9" i="35" a="1"/>
  <c r="BC9" i="35" s="1"/>
  <c r="BO9" i="35" a="1"/>
  <c r="BO9" i="35" s="1"/>
  <c r="Z10" i="35" a="1"/>
  <c r="Z10" i="35" s="1"/>
  <c r="AL10" i="35" a="1"/>
  <c r="AL10" i="35" s="1"/>
  <c r="BK10" i="35" a="1"/>
  <c r="BK10" i="35" s="1"/>
  <c r="AE11" i="35" a="1"/>
  <c r="AE11" i="35" s="1"/>
  <c r="R7" i="35" a="1"/>
  <c r="R7" i="35" s="1"/>
  <c r="AD7" i="35" a="1"/>
  <c r="AD7" i="35" s="1"/>
  <c r="AP7" i="35" a="1"/>
  <c r="AP7" i="35" s="1"/>
  <c r="BB7" i="35" a="1"/>
  <c r="BB7" i="35" s="1"/>
  <c r="BN7" i="35" a="1"/>
  <c r="BN7" i="35" s="1"/>
  <c r="M8" i="35" a="1"/>
  <c r="M8" i="35" s="1"/>
  <c r="Y8" i="35" a="1"/>
  <c r="Y8" i="35" s="1"/>
  <c r="AK8" i="35" a="1"/>
  <c r="AK8" i="35" s="1"/>
  <c r="AW8" i="35" a="1"/>
  <c r="AW8" i="35" s="1"/>
  <c r="BI8" i="35" a="1"/>
  <c r="BI8" i="35" s="1"/>
  <c r="H9" i="35" a="1"/>
  <c r="H9" i="35" s="1"/>
  <c r="T9" i="35" a="1"/>
  <c r="T9" i="35" s="1"/>
  <c r="AF9" i="35" a="1"/>
  <c r="AF9" i="35" s="1"/>
  <c r="AR9" i="35" a="1"/>
  <c r="AR9" i="35" s="1"/>
  <c r="BD9" i="35" a="1"/>
  <c r="BD9" i="35" s="1"/>
  <c r="BP9" i="35" a="1"/>
  <c r="BP9" i="35" s="1"/>
  <c r="O10" i="35" a="1"/>
  <c r="O10" i="35" s="1"/>
  <c r="AA10" i="35" a="1"/>
  <c r="AA10" i="35" s="1"/>
  <c r="AM10" i="35" a="1"/>
  <c r="AM10" i="35" s="1"/>
  <c r="AY10" i="35" a="1"/>
  <c r="AY10" i="35" s="1"/>
  <c r="BM10" i="35" a="1"/>
  <c r="BM10" i="35" s="1"/>
  <c r="N11" i="35" a="1"/>
  <c r="N11" i="35" s="1"/>
  <c r="AF11" i="35" a="1"/>
  <c r="AF11" i="35" s="1"/>
  <c r="AX11" i="35" a="1"/>
  <c r="AX11" i="35" s="1"/>
  <c r="BR11" i="35" a="1"/>
  <c r="BR11" i="35" s="1"/>
  <c r="AC12" i="35" a="1"/>
  <c r="AC12" i="35" s="1"/>
  <c r="BA12" i="35" a="1"/>
  <c r="BA12" i="35" s="1"/>
  <c r="C42" i="28" a="1"/>
  <c r="C42" i="28" s="1"/>
  <c r="B41" i="28"/>
  <c r="C40" i="28" a="1"/>
  <c r="C40" i="28" s="1"/>
  <c r="C39" i="28" a="1"/>
  <c r="C39" i="28" s="1"/>
  <c r="C38" i="28" a="1"/>
  <c r="C38" i="28" s="1"/>
  <c r="C37" i="28" a="1"/>
  <c r="C37" i="28" s="1"/>
  <c r="C36" i="28" a="1"/>
  <c r="C36" i="28" s="1"/>
  <c r="C35" i="28" a="1"/>
  <c r="C35" i="28" s="1"/>
  <c r="C34" i="28" a="1"/>
  <c r="C34" i="28" s="1"/>
  <c r="B33" i="28"/>
  <c r="C32" i="28" a="1"/>
  <c r="C32" i="28" s="1"/>
  <c r="C31" i="28" a="1"/>
  <c r="C31" i="28" s="1"/>
  <c r="C30" i="28" a="1"/>
  <c r="C30" i="28" s="1"/>
  <c r="C29" i="28" a="1"/>
  <c r="C29" i="28" s="1"/>
  <c r="C28" i="28" a="1"/>
  <c r="C28" i="28" s="1"/>
  <c r="B27" i="28"/>
  <c r="C26" i="28" a="1"/>
  <c r="C26" i="28" s="1"/>
  <c r="C25" i="28" a="1"/>
  <c r="C25" i="28" s="1"/>
  <c r="C24" i="28" a="1"/>
  <c r="C24" i="28" s="1"/>
  <c r="C23" i="28" a="1"/>
  <c r="C23" i="28" s="1"/>
  <c r="C22" i="28" a="1"/>
  <c r="C22" i="28" s="1"/>
  <c r="C21" i="28" a="1"/>
  <c r="C21" i="28" s="1"/>
  <c r="C20" i="28" a="1"/>
  <c r="C20" i="28" s="1"/>
  <c r="B19" i="28"/>
  <c r="C6" i="28" a="1"/>
  <c r="C6" i="28" s="1"/>
  <c r="A6" i="28" a="1"/>
  <c r="C42" i="27" a="1"/>
  <c r="C42" i="27" s="1"/>
  <c r="B41" i="27"/>
  <c r="C40" i="27" a="1"/>
  <c r="C40" i="27" s="1"/>
  <c r="C39" i="27" a="1"/>
  <c r="C39" i="27" s="1"/>
  <c r="C38" i="27" a="1"/>
  <c r="C38" i="27" s="1"/>
  <c r="C37" i="27" a="1"/>
  <c r="C37" i="27" s="1"/>
  <c r="C36" i="27" a="1"/>
  <c r="C36" i="27" s="1"/>
  <c r="C35" i="27" a="1"/>
  <c r="C35" i="27" s="1"/>
  <c r="C34" i="27" a="1"/>
  <c r="C34" i="27" s="1"/>
  <c r="B33" i="27"/>
  <c r="C32" i="27" a="1"/>
  <c r="C32" i="27" s="1"/>
  <c r="C31" i="27" a="1"/>
  <c r="C31" i="27" s="1"/>
  <c r="C30" i="27" a="1"/>
  <c r="C30" i="27" s="1"/>
  <c r="C29" i="27" a="1"/>
  <c r="C29" i="27" s="1"/>
  <c r="C28" i="27" a="1"/>
  <c r="C28" i="27" s="1"/>
  <c r="B27" i="27"/>
  <c r="C26" i="27" a="1"/>
  <c r="C26" i="27" s="1"/>
  <c r="C25" i="27" a="1"/>
  <c r="C25" i="27" s="1"/>
  <c r="C24" i="27" a="1"/>
  <c r="C24" i="27" s="1"/>
  <c r="C23" i="27" a="1"/>
  <c r="C23" i="27" s="1"/>
  <c r="C22" i="27" a="1"/>
  <c r="C22" i="27" s="1"/>
  <c r="C21" i="27" a="1"/>
  <c r="C21" i="27" s="1"/>
  <c r="C20" i="27" a="1"/>
  <c r="C20" i="27" s="1"/>
  <c r="B19" i="27"/>
  <c r="C6" i="27" a="1"/>
  <c r="C6" i="27" s="1"/>
  <c r="A6" i="27" a="1"/>
  <c r="AC12" i="27" s="1" a="1"/>
  <c r="AC12" i="27" s="1"/>
  <c r="C42" i="26" a="1"/>
  <c r="C42" i="26" s="1"/>
  <c r="B41" i="26"/>
  <c r="C40" i="26" a="1"/>
  <c r="C40" i="26" s="1"/>
  <c r="C39" i="26" a="1"/>
  <c r="C39" i="26" s="1"/>
  <c r="C38" i="26" a="1"/>
  <c r="C38" i="26" s="1"/>
  <c r="C37" i="26" a="1"/>
  <c r="C37" i="26" s="1"/>
  <c r="C36" i="26" a="1"/>
  <c r="C36" i="26" s="1"/>
  <c r="C35" i="26" a="1"/>
  <c r="C35" i="26" s="1"/>
  <c r="C34" i="26" a="1"/>
  <c r="C34" i="26" s="1"/>
  <c r="B33" i="26"/>
  <c r="C32" i="26" a="1"/>
  <c r="C32" i="26" s="1"/>
  <c r="C31" i="26" a="1"/>
  <c r="C31" i="26" s="1"/>
  <c r="C30" i="26" a="1"/>
  <c r="C30" i="26" s="1"/>
  <c r="C29" i="26" a="1"/>
  <c r="C29" i="26" s="1"/>
  <c r="C28" i="26" a="1"/>
  <c r="C28" i="26" s="1"/>
  <c r="B27" i="26"/>
  <c r="C26" i="26" a="1"/>
  <c r="C26" i="26" s="1"/>
  <c r="C25" i="26" a="1"/>
  <c r="C25" i="26" s="1"/>
  <c r="C24" i="26" a="1"/>
  <c r="C24" i="26" s="1"/>
  <c r="C23" i="26" a="1"/>
  <c r="C23" i="26" s="1"/>
  <c r="C22" i="26" a="1"/>
  <c r="C22" i="26" s="1"/>
  <c r="C21" i="26" a="1"/>
  <c r="C21" i="26" s="1"/>
  <c r="C20" i="26" a="1"/>
  <c r="C20" i="26" s="1"/>
  <c r="B19" i="26"/>
  <c r="C6" i="26" a="1"/>
  <c r="C6" i="26" s="1"/>
  <c r="A6" i="26" a="1"/>
  <c r="AW12" i="26" s="1" a="1"/>
  <c r="AW12" i="26" s="1"/>
  <c r="A2" i="18"/>
  <c r="A3" i="18"/>
  <c r="A4" i="18"/>
  <c r="A5" i="18"/>
  <c r="A2" i="16"/>
  <c r="BS6" i="35" l="1" a="1"/>
  <c r="BS6" i="35" s="1"/>
  <c r="BG6" i="35" a="1"/>
  <c r="BG6" i="35" s="1"/>
  <c r="AU6" i="35" a="1"/>
  <c r="AU6" i="35" s="1"/>
  <c r="AI6" i="35" a="1"/>
  <c r="AI6" i="35" s="1"/>
  <c r="W6" i="35" a="1"/>
  <c r="W6" i="35" s="1"/>
  <c r="K6" i="35" a="1"/>
  <c r="K6" i="35" s="1"/>
  <c r="BF6" i="35" a="1"/>
  <c r="BF6" i="35" s="1"/>
  <c r="AH6" i="35" a="1"/>
  <c r="AH6" i="35" s="1"/>
  <c r="V6" i="35" a="1"/>
  <c r="V6" i="35" s="1"/>
  <c r="BQ6" i="35" a="1"/>
  <c r="BQ6" i="35" s="1"/>
  <c r="AS6" i="35" a="1"/>
  <c r="AS6" i="35" s="1"/>
  <c r="U6" i="35" a="1"/>
  <c r="U6" i="35" s="1"/>
  <c r="BC6" i="35" a="1"/>
  <c r="BC6" i="35" s="1"/>
  <c r="G6" i="35" a="1"/>
  <c r="G6" i="35" s="1"/>
  <c r="AW6" i="35" a="1"/>
  <c r="AW6" i="35" s="1"/>
  <c r="AK6" i="35" a="1"/>
  <c r="AK6" i="35" s="1"/>
  <c r="BR6" i="35" a="1"/>
  <c r="BR6" i="35" s="1"/>
  <c r="AT6" i="35" a="1"/>
  <c r="AT6" i="35" s="1"/>
  <c r="J6" i="35" a="1"/>
  <c r="J6" i="35" s="1"/>
  <c r="BE6" i="35" a="1"/>
  <c r="BE6" i="35" s="1"/>
  <c r="I6" i="35" a="1"/>
  <c r="I6" i="35" s="1"/>
  <c r="AE6" i="35" a="1"/>
  <c r="AE6" i="35" s="1"/>
  <c r="BI6" i="35" a="1"/>
  <c r="BI6" i="35" s="1"/>
  <c r="AG6" i="35" a="1"/>
  <c r="AG6" i="35" s="1"/>
  <c r="AC6" i="35" a="1"/>
  <c r="AC6" i="35" s="1"/>
  <c r="Y6" i="35" a="1"/>
  <c r="Y6" i="35" s="1"/>
  <c r="BP6" i="35" a="1"/>
  <c r="BP6" i="35" s="1"/>
  <c r="BD6" i="35" a="1"/>
  <c r="BD6" i="35" s="1"/>
  <c r="AR6" i="35" a="1"/>
  <c r="AR6" i="35" s="1"/>
  <c r="AF6" i="35" a="1"/>
  <c r="AF6" i="35" s="1"/>
  <c r="T6" i="35" a="1"/>
  <c r="T6" i="35" s="1"/>
  <c r="H6" i="35" a="1"/>
  <c r="H6" i="35" s="1"/>
  <c r="AQ6" i="35" a="1"/>
  <c r="AQ6" i="35" s="1"/>
  <c r="BN6" i="35" a="1"/>
  <c r="BN6" i="35" s="1"/>
  <c r="BB6" i="35" a="1"/>
  <c r="BB6" i="35" s="1"/>
  <c r="AP6" i="35" a="1"/>
  <c r="AP6" i="35" s="1"/>
  <c r="AD6" i="35" a="1"/>
  <c r="AD6" i="35" s="1"/>
  <c r="R6" i="35" a="1"/>
  <c r="R6" i="35" s="1"/>
  <c r="BM6" i="35" a="1"/>
  <c r="BM6" i="35" s="1"/>
  <c r="BA6" i="35" a="1"/>
  <c r="BA6" i="35" s="1"/>
  <c r="AO6" i="35" a="1"/>
  <c r="AO6" i="35" s="1"/>
  <c r="Q6" i="35" a="1"/>
  <c r="Q6" i="35" s="1"/>
  <c r="BL6" i="35" a="1"/>
  <c r="BL6" i="35" s="1"/>
  <c r="AZ6" i="35" a="1"/>
  <c r="AZ6" i="35" s="1"/>
  <c r="AN6" i="35" a="1"/>
  <c r="AN6" i="35" s="1"/>
  <c r="AB6" i="35" a="1"/>
  <c r="AB6" i="35" s="1"/>
  <c r="P6" i="35" a="1"/>
  <c r="P6" i="35" s="1"/>
  <c r="BK6" i="35" a="1"/>
  <c r="BK6" i="35" s="1"/>
  <c r="AM6" i="35" a="1"/>
  <c r="AM6" i="35" s="1"/>
  <c r="AA6" i="35" a="1"/>
  <c r="AA6" i="35" s="1"/>
  <c r="BJ6" i="35" a="1"/>
  <c r="BJ6" i="35" s="1"/>
  <c r="AX6" i="35" a="1"/>
  <c r="AX6" i="35" s="1"/>
  <c r="N6" i="35" a="1"/>
  <c r="N6" i="35" s="1"/>
  <c r="AY6" i="35" a="1"/>
  <c r="AY6" i="35" s="1"/>
  <c r="O6" i="35" a="1"/>
  <c r="O6" i="35" s="1"/>
  <c r="AL6" i="35" a="1"/>
  <c r="AL6" i="35" s="1"/>
  <c r="Z6" i="35" a="1"/>
  <c r="Z6" i="35" s="1"/>
  <c r="M6" i="35" a="1"/>
  <c r="M6" i="35" s="1"/>
  <c r="BH6" i="35" a="1"/>
  <c r="BH6" i="35" s="1"/>
  <c r="AV6" i="35" a="1"/>
  <c r="AV6" i="35" s="1"/>
  <c r="AJ6" i="35" a="1"/>
  <c r="AJ6" i="35" s="1"/>
  <c r="X6" i="35" a="1"/>
  <c r="X6" i="35" s="1"/>
  <c r="L6" i="35" a="1"/>
  <c r="L6" i="35" s="1"/>
  <c r="BO6" i="35" a="1"/>
  <c r="BO6" i="35" s="1"/>
  <c r="S6" i="35" a="1"/>
  <c r="S6" i="35" s="1"/>
  <c r="BQ12" i="28" a="1"/>
  <c r="BQ12" i="28" s="1"/>
  <c r="BK12" i="28" a="1"/>
  <c r="BK12" i="28" s="1"/>
  <c r="BE12" i="28" a="1"/>
  <c r="BE12" i="28" s="1"/>
  <c r="AY12" i="28" a="1"/>
  <c r="AY12" i="28" s="1"/>
  <c r="AS12" i="28" a="1"/>
  <c r="AS12" i="28" s="1"/>
  <c r="AM12" i="28" a="1"/>
  <c r="AM12" i="28" s="1"/>
  <c r="AG12" i="28" a="1"/>
  <c r="AG12" i="28" s="1"/>
  <c r="AA12" i="28" a="1"/>
  <c r="AA12" i="28" s="1"/>
  <c r="U12" i="28" a="1"/>
  <c r="U12" i="28" s="1"/>
  <c r="O12" i="28" a="1"/>
  <c r="O12" i="28" s="1"/>
  <c r="I12" i="28" a="1"/>
  <c r="I12" i="28" s="1"/>
  <c r="BP11" i="28" a="1"/>
  <c r="BP11" i="28" s="1"/>
  <c r="BJ11" i="28" a="1"/>
  <c r="BJ11" i="28" s="1"/>
  <c r="BD11" i="28" a="1"/>
  <c r="BD11" i="28" s="1"/>
  <c r="AX11" i="28" a="1"/>
  <c r="AX11" i="28" s="1"/>
  <c r="AR11" i="28" a="1"/>
  <c r="AR11" i="28" s="1"/>
  <c r="AL11" i="28" a="1"/>
  <c r="AL11" i="28" s="1"/>
  <c r="AF11" i="28" a="1"/>
  <c r="AF11" i="28" s="1"/>
  <c r="Z11" i="28" a="1"/>
  <c r="Z11" i="28" s="1"/>
  <c r="T11" i="28" a="1"/>
  <c r="T11" i="28" s="1"/>
  <c r="N11" i="28" a="1"/>
  <c r="N11" i="28" s="1"/>
  <c r="H11" i="28" a="1"/>
  <c r="H11" i="28" s="1"/>
  <c r="BO10" i="28" a="1"/>
  <c r="BO10" i="28" s="1"/>
  <c r="BI10" i="28" a="1"/>
  <c r="BI10" i="28" s="1"/>
  <c r="BC10" i="28" a="1"/>
  <c r="BC10" i="28" s="1"/>
  <c r="AW10" i="28" a="1"/>
  <c r="AW10" i="28" s="1"/>
  <c r="AQ10" i="28" a="1"/>
  <c r="AQ10" i="28" s="1"/>
  <c r="AK10" i="28" a="1"/>
  <c r="AK10" i="28" s="1"/>
  <c r="AE10" i="28" a="1"/>
  <c r="AE10" i="28" s="1"/>
  <c r="Y10" i="28" a="1"/>
  <c r="Y10" i="28" s="1"/>
  <c r="S10" i="28" a="1"/>
  <c r="S10" i="28" s="1"/>
  <c r="M10" i="28" a="1"/>
  <c r="M10" i="28" s="1"/>
  <c r="G10" i="28" a="1"/>
  <c r="G10" i="28" s="1"/>
  <c r="BN9" i="28" a="1"/>
  <c r="BN9" i="28" s="1"/>
  <c r="BH9" i="28" a="1"/>
  <c r="BH9" i="28" s="1"/>
  <c r="BP12" i="28" a="1"/>
  <c r="BP12" i="28" s="1"/>
  <c r="BJ12" i="28" a="1"/>
  <c r="BJ12" i="28" s="1"/>
  <c r="BD12" i="28" a="1"/>
  <c r="BD12" i="28" s="1"/>
  <c r="AX12" i="28" a="1"/>
  <c r="AX12" i="28" s="1"/>
  <c r="AR12" i="28" a="1"/>
  <c r="AR12" i="28" s="1"/>
  <c r="AL12" i="28" a="1"/>
  <c r="AL12" i="28" s="1"/>
  <c r="AF12" i="28" a="1"/>
  <c r="AF12" i="28" s="1"/>
  <c r="Z12" i="28" a="1"/>
  <c r="Z12" i="28" s="1"/>
  <c r="BO12" i="28" a="1"/>
  <c r="BO12" i="28" s="1"/>
  <c r="BI12" i="28" a="1"/>
  <c r="BI12" i="28" s="1"/>
  <c r="BC12" i="28" a="1"/>
  <c r="BC12" i="28" s="1"/>
  <c r="AW12" i="28" a="1"/>
  <c r="AW12" i="28" s="1"/>
  <c r="AQ12" i="28" a="1"/>
  <c r="AQ12" i="28" s="1"/>
  <c r="AK12" i="28" a="1"/>
  <c r="AK12" i="28" s="1"/>
  <c r="AE12" i="28" a="1"/>
  <c r="AE12" i="28" s="1"/>
  <c r="Y12" i="28" a="1"/>
  <c r="Y12" i="28" s="1"/>
  <c r="S12" i="28" a="1"/>
  <c r="S12" i="28" s="1"/>
  <c r="L12" i="28" a="1"/>
  <c r="L12" i="28" s="1"/>
  <c r="BR10" i="28" a="1"/>
  <c r="BR10" i="28" s="1"/>
  <c r="BN12" i="28" a="1"/>
  <c r="BN12" i="28" s="1"/>
  <c r="BH12" i="28" a="1"/>
  <c r="BH12" i="28" s="1"/>
  <c r="BB12" i="28" a="1"/>
  <c r="BB12" i="28" s="1"/>
  <c r="AV12" i="28" a="1"/>
  <c r="AV12" i="28" s="1"/>
  <c r="AP12" i="28" a="1"/>
  <c r="AP12" i="28" s="1"/>
  <c r="AJ12" i="28" a="1"/>
  <c r="AJ12" i="28" s="1"/>
  <c r="AD12" i="28" a="1"/>
  <c r="AD12" i="28" s="1"/>
  <c r="X12" i="28" a="1"/>
  <c r="X12" i="28" s="1"/>
  <c r="R12" i="28" a="1"/>
  <c r="R12" i="28" s="1"/>
  <c r="BS11" i="28" a="1"/>
  <c r="BS11" i="28" s="1"/>
  <c r="BM11" i="28" a="1"/>
  <c r="BM11" i="28" s="1"/>
  <c r="BG11" i="28" a="1"/>
  <c r="BG11" i="28" s="1"/>
  <c r="BA11" i="28" a="1"/>
  <c r="BA11" i="28" s="1"/>
  <c r="AU11" i="28" a="1"/>
  <c r="AU11" i="28" s="1"/>
  <c r="AO11" i="28" a="1"/>
  <c r="AO11" i="28" s="1"/>
  <c r="AI11" i="28" a="1"/>
  <c r="AI11" i="28" s="1"/>
  <c r="AC11" i="28" a="1"/>
  <c r="AC11" i="28" s="1"/>
  <c r="W11" i="28" a="1"/>
  <c r="W11" i="28" s="1"/>
  <c r="Q11" i="28" a="1"/>
  <c r="Q11" i="28" s="1"/>
  <c r="K11" i="28" a="1"/>
  <c r="K11" i="28" s="1"/>
  <c r="BL10" i="28" a="1"/>
  <c r="BL10" i="28" s="1"/>
  <c r="A6" i="28"/>
  <c r="BS12" i="28" a="1"/>
  <c r="BS12" i="28" s="1"/>
  <c r="BG12" i="28" a="1"/>
  <c r="BG12" i="28" s="1"/>
  <c r="BA12" i="28" a="1"/>
  <c r="BA12" i="28" s="1"/>
  <c r="AU12" i="28" a="1"/>
  <c r="AU12" i="28" s="1"/>
  <c r="AI12" i="28" a="1"/>
  <c r="AI12" i="28" s="1"/>
  <c r="AC12" i="28" a="1"/>
  <c r="AC12" i="28" s="1"/>
  <c r="BM12" i="28" a="1"/>
  <c r="BM12" i="28" s="1"/>
  <c r="AO12" i="28" a="1"/>
  <c r="AO12" i="28" s="1"/>
  <c r="R7" i="28" a="1"/>
  <c r="R7" i="28" s="1"/>
  <c r="AJ7" i="28" a="1"/>
  <c r="AJ7" i="28" s="1"/>
  <c r="BB7" i="28" a="1"/>
  <c r="BB7" i="28" s="1"/>
  <c r="G8" i="28" a="1"/>
  <c r="G8" i="28" s="1"/>
  <c r="Y8" i="28" a="1"/>
  <c r="Y8" i="28" s="1"/>
  <c r="AH8" i="28" a="1"/>
  <c r="AH8" i="28" s="1"/>
  <c r="AZ8" i="28" a="1"/>
  <c r="AZ8" i="28" s="1"/>
  <c r="BI8" i="28" a="1"/>
  <c r="BI8" i="28" s="1"/>
  <c r="BR8" i="28" a="1"/>
  <c r="BR8" i="28" s="1"/>
  <c r="N9" i="28" a="1"/>
  <c r="N9" i="28" s="1"/>
  <c r="W9" i="28" a="1"/>
  <c r="W9" i="28" s="1"/>
  <c r="AF9" i="28" a="1"/>
  <c r="AF9" i="28" s="1"/>
  <c r="AO9" i="28" a="1"/>
  <c r="AO9" i="28" s="1"/>
  <c r="AX9" i="28" a="1"/>
  <c r="AX9" i="28" s="1"/>
  <c r="BG9" i="28" a="1"/>
  <c r="BG9" i="28" s="1"/>
  <c r="BR9" i="28" a="1"/>
  <c r="BR9" i="28" s="1"/>
  <c r="O10" i="28" a="1"/>
  <c r="O10" i="28" s="1"/>
  <c r="Z10" i="28" a="1"/>
  <c r="Z10" i="28" s="1"/>
  <c r="AT10" i="28" a="1"/>
  <c r="AT10" i="28" s="1"/>
  <c r="BP10" i="28" a="1"/>
  <c r="BP10" i="28" s="1"/>
  <c r="O11" i="28" a="1"/>
  <c r="O11" i="28" s="1"/>
  <c r="AA11" i="28" a="1"/>
  <c r="AA11" i="28" s="1"/>
  <c r="AM11" i="28" a="1"/>
  <c r="AM11" i="28" s="1"/>
  <c r="AY11" i="28" a="1"/>
  <c r="AY11" i="28" s="1"/>
  <c r="BK11" i="28" a="1"/>
  <c r="BK11" i="28" s="1"/>
  <c r="J12" i="28" a="1"/>
  <c r="J12" i="28" s="1"/>
  <c r="AT12" i="28" a="1"/>
  <c r="AT12" i="28" s="1"/>
  <c r="BR12" i="28" a="1"/>
  <c r="BR12" i="28" s="1"/>
  <c r="G7" i="28" a="1"/>
  <c r="G7" i="28" s="1"/>
  <c r="P7" i="28" a="1"/>
  <c r="P7" i="28" s="1"/>
  <c r="Y7" i="28" a="1"/>
  <c r="Y7" i="28" s="1"/>
  <c r="AQ7" i="28" a="1"/>
  <c r="AQ7" i="28" s="1"/>
  <c r="BI7" i="28" a="1"/>
  <c r="BI7" i="28" s="1"/>
  <c r="BR7" i="28" a="1"/>
  <c r="BR7" i="28" s="1"/>
  <c r="W8" i="28" a="1"/>
  <c r="W8" i="28" s="1"/>
  <c r="AO8" i="28" a="1"/>
  <c r="AO8" i="28" s="1"/>
  <c r="AX8" i="28" a="1"/>
  <c r="AX8" i="28" s="1"/>
  <c r="BP8" i="28" a="1"/>
  <c r="BP8" i="28" s="1"/>
  <c r="U9" i="28" a="1"/>
  <c r="U9" i="28" s="1"/>
  <c r="AD9" i="28" a="1"/>
  <c r="AD9" i="28" s="1"/>
  <c r="AM9" i="28" a="1"/>
  <c r="AM9" i="28" s="1"/>
  <c r="I7" i="28" a="1"/>
  <c r="I7" i="28" s="1"/>
  <c r="AA7" i="28" a="1"/>
  <c r="AA7" i="28" s="1"/>
  <c r="AS7" i="28" a="1"/>
  <c r="AS7" i="28" s="1"/>
  <c r="BK7" i="28" a="1"/>
  <c r="BK7" i="28" s="1"/>
  <c r="P8" i="28" a="1"/>
  <c r="P8" i="28" s="1"/>
  <c r="AQ8" i="28" a="1"/>
  <c r="AQ8" i="28" s="1"/>
  <c r="J7" i="28" a="1"/>
  <c r="J7" i="28" s="1"/>
  <c r="S7" i="28" a="1"/>
  <c r="S7" i="28" s="1"/>
  <c r="AB7" i="28" a="1"/>
  <c r="AB7" i="28" s="1"/>
  <c r="AK7" i="28" a="1"/>
  <c r="AK7" i="28" s="1"/>
  <c r="AT7" i="28" a="1"/>
  <c r="AT7" i="28" s="1"/>
  <c r="BC7" i="28" a="1"/>
  <c r="BC7" i="28" s="1"/>
  <c r="BL7" i="28" a="1"/>
  <c r="BL7" i="28" s="1"/>
  <c r="H8" i="28" a="1"/>
  <c r="H8" i="28" s="1"/>
  <c r="Q8" i="28" a="1"/>
  <c r="Q8" i="28" s="1"/>
  <c r="Z8" i="28" a="1"/>
  <c r="Z8" i="28" s="1"/>
  <c r="AI8" i="28" a="1"/>
  <c r="AI8" i="28" s="1"/>
  <c r="AR8" i="28" a="1"/>
  <c r="AR8" i="28" s="1"/>
  <c r="BA8" i="28" a="1"/>
  <c r="BA8" i="28" s="1"/>
  <c r="BJ8" i="28" a="1"/>
  <c r="BJ8" i="28" s="1"/>
  <c r="BS8" i="28" a="1"/>
  <c r="BS8" i="28" s="1"/>
  <c r="O9" i="28" a="1"/>
  <c r="O9" i="28" s="1"/>
  <c r="X9" i="28" a="1"/>
  <c r="X9" i="28" s="1"/>
  <c r="AG9" i="28" a="1"/>
  <c r="AG9" i="28" s="1"/>
  <c r="AP9" i="28" a="1"/>
  <c r="AP9" i="28" s="1"/>
  <c r="AY9" i="28" a="1"/>
  <c r="AY9" i="28" s="1"/>
  <c r="BI9" i="28" a="1"/>
  <c r="BI9" i="28" s="1"/>
  <c r="P10" i="28" a="1"/>
  <c r="P10" i="28" s="1"/>
  <c r="AJ10" i="28" a="1"/>
  <c r="AJ10" i="28" s="1"/>
  <c r="AU10" i="28" a="1"/>
  <c r="AU10" i="28" s="1"/>
  <c r="BE10" i="28" a="1"/>
  <c r="BE10" i="28" s="1"/>
  <c r="W12" i="28" a="1"/>
  <c r="W12" i="28" s="1"/>
  <c r="AC7" i="28" a="1"/>
  <c r="AC7" i="28" s="1"/>
  <c r="AA8" i="28" a="1"/>
  <c r="AA8" i="28" s="1"/>
  <c r="AH9" i="28" a="1"/>
  <c r="AH9" i="28" s="1"/>
  <c r="Q10" i="28" a="1"/>
  <c r="Q10" i="28" s="1"/>
  <c r="BF10" i="28" a="1"/>
  <c r="BF10" i="28" s="1"/>
  <c r="P11" i="28" a="1"/>
  <c r="P11" i="28" s="1"/>
  <c r="AB11" i="28" a="1"/>
  <c r="AB11" i="28" s="1"/>
  <c r="AN11" i="28" a="1"/>
  <c r="AN11" i="28" s="1"/>
  <c r="AZ11" i="28" a="1"/>
  <c r="AZ11" i="28" s="1"/>
  <c r="BL11" i="28" a="1"/>
  <c r="BL11" i="28" s="1"/>
  <c r="K12" i="28" a="1"/>
  <c r="K12" i="28" s="1"/>
  <c r="BJ9" i="28" a="1"/>
  <c r="BJ9" i="28" s="1"/>
  <c r="H10" i="28" a="1"/>
  <c r="H10" i="28" s="1"/>
  <c r="AB10" i="28" a="1"/>
  <c r="AB10" i="28" s="1"/>
  <c r="AV10" i="28" a="1"/>
  <c r="AV10" i="28" s="1"/>
  <c r="BG10" i="28" a="1"/>
  <c r="BG10" i="28" s="1"/>
  <c r="BS10" i="28" a="1"/>
  <c r="BS10" i="28" s="1"/>
  <c r="R11" i="28" a="1"/>
  <c r="R11" i="28" s="1"/>
  <c r="AD11" i="28" a="1"/>
  <c r="AD11" i="28" s="1"/>
  <c r="AP11" i="28" a="1"/>
  <c r="AP11" i="28" s="1"/>
  <c r="BB11" i="28" a="1"/>
  <c r="BB11" i="28" s="1"/>
  <c r="BN11" i="28" a="1"/>
  <c r="BN11" i="28" s="1"/>
  <c r="M12" i="28" a="1"/>
  <c r="M12" i="28" s="1"/>
  <c r="AB12" i="28" a="1"/>
  <c r="AB12" i="28" s="1"/>
  <c r="AZ12" i="28" a="1"/>
  <c r="AZ12" i="28" s="1"/>
  <c r="BM7" i="28" a="1"/>
  <c r="BM7" i="28" s="1"/>
  <c r="AJ8" i="28" a="1"/>
  <c r="AJ8" i="28" s="1"/>
  <c r="P9" i="28" a="1"/>
  <c r="P9" i="28" s="1"/>
  <c r="BS9" i="28" a="1"/>
  <c r="BS9" i="28" s="1"/>
  <c r="L7" i="28" a="1"/>
  <c r="L7" i="28" s="1"/>
  <c r="U7" i="28" a="1"/>
  <c r="U7" i="28" s="1"/>
  <c r="AD7" i="28" a="1"/>
  <c r="AD7" i="28" s="1"/>
  <c r="AM7" i="28" a="1"/>
  <c r="AM7" i="28" s="1"/>
  <c r="AV7" i="28" a="1"/>
  <c r="AV7" i="28" s="1"/>
  <c r="BE7" i="28" a="1"/>
  <c r="BE7" i="28" s="1"/>
  <c r="BN7" i="28" a="1"/>
  <c r="BN7" i="28" s="1"/>
  <c r="J8" i="28" a="1"/>
  <c r="J8" i="28" s="1"/>
  <c r="S8" i="28" a="1"/>
  <c r="S8" i="28" s="1"/>
  <c r="AB8" i="28" a="1"/>
  <c r="AB8" i="28" s="1"/>
  <c r="AK8" i="28" a="1"/>
  <c r="AK8" i="28" s="1"/>
  <c r="AT8" i="28" a="1"/>
  <c r="AT8" i="28" s="1"/>
  <c r="BC8" i="28" a="1"/>
  <c r="BC8" i="28" s="1"/>
  <c r="BL8" i="28" a="1"/>
  <c r="BL8" i="28" s="1"/>
  <c r="H9" i="28" a="1"/>
  <c r="H9" i="28" s="1"/>
  <c r="Q9" i="28" a="1"/>
  <c r="Q9" i="28" s="1"/>
  <c r="Z9" i="28" a="1"/>
  <c r="Z9" i="28" s="1"/>
  <c r="AI9" i="28" a="1"/>
  <c r="AI9" i="28" s="1"/>
  <c r="AR9" i="28" a="1"/>
  <c r="AR9" i="28" s="1"/>
  <c r="BA9" i="28" a="1"/>
  <c r="BA9" i="28" s="1"/>
  <c r="BK9" i="28" a="1"/>
  <c r="BK9" i="28" s="1"/>
  <c r="R10" i="28" a="1"/>
  <c r="R10" i="28" s="1"/>
  <c r="AC10" i="28" a="1"/>
  <c r="AC10" i="28" s="1"/>
  <c r="AM10" i="28" a="1"/>
  <c r="AM10" i="28" s="1"/>
  <c r="AX10" i="28" a="1"/>
  <c r="AX10" i="28" s="1"/>
  <c r="K7" i="28" a="1"/>
  <c r="K7" i="28" s="1"/>
  <c r="AL7" i="28" a="1"/>
  <c r="AL7" i="28" s="1"/>
  <c r="BD7" i="28" a="1"/>
  <c r="BD7" i="28" s="1"/>
  <c r="I8" i="28" a="1"/>
  <c r="I8" i="28" s="1"/>
  <c r="R8" i="28" a="1"/>
  <c r="R8" i="28" s="1"/>
  <c r="AS8" i="28" a="1"/>
  <c r="AS8" i="28" s="1"/>
  <c r="BK8" i="28" a="1"/>
  <c r="BK8" i="28" s="1"/>
  <c r="Y9" i="28" a="1"/>
  <c r="Y9" i="28" s="1"/>
  <c r="AQ9" i="28" a="1"/>
  <c r="AQ9" i="28" s="1"/>
  <c r="AZ9" i="28" a="1"/>
  <c r="AZ9" i="28" s="1"/>
  <c r="AA10" i="28" a="1"/>
  <c r="AA10" i="28" s="1"/>
  <c r="AL10" i="28" a="1"/>
  <c r="AL10" i="28" s="1"/>
  <c r="BQ10" i="28" a="1"/>
  <c r="BQ10" i="28" s="1"/>
  <c r="M7" i="28" a="1"/>
  <c r="M7" i="28" s="1"/>
  <c r="V7" i="28" a="1"/>
  <c r="V7" i="28" s="1"/>
  <c r="AE7" i="28" a="1"/>
  <c r="AE7" i="28" s="1"/>
  <c r="AN7" i="28" a="1"/>
  <c r="AN7" i="28" s="1"/>
  <c r="AW7" i="28" a="1"/>
  <c r="AW7" i="28" s="1"/>
  <c r="BF7" i="28" a="1"/>
  <c r="BF7" i="28" s="1"/>
  <c r="BO7" i="28" a="1"/>
  <c r="BO7" i="28" s="1"/>
  <c r="K8" i="28" a="1"/>
  <c r="K8" i="28" s="1"/>
  <c r="T8" i="28" a="1"/>
  <c r="T8" i="28" s="1"/>
  <c r="AC8" i="28" a="1"/>
  <c r="AC8" i="28" s="1"/>
  <c r="AL8" i="28" a="1"/>
  <c r="AL8" i="28" s="1"/>
  <c r="AU8" i="28" a="1"/>
  <c r="AU8" i="28" s="1"/>
  <c r="BD8" i="28" a="1"/>
  <c r="BD8" i="28" s="1"/>
  <c r="BM8" i="28" a="1"/>
  <c r="BM8" i="28" s="1"/>
  <c r="I9" i="28" a="1"/>
  <c r="I9" i="28" s="1"/>
  <c r="R9" i="28" a="1"/>
  <c r="R9" i="28" s="1"/>
  <c r="AA9" i="28" a="1"/>
  <c r="AA9" i="28" s="1"/>
  <c r="AJ9" i="28" a="1"/>
  <c r="AJ9" i="28" s="1"/>
  <c r="AS9" i="28" a="1"/>
  <c r="AS9" i="28" s="1"/>
  <c r="BB9" i="28" a="1"/>
  <c r="BB9" i="28" s="1"/>
  <c r="BL9" i="28" a="1"/>
  <c r="BL9" i="28" s="1"/>
  <c r="I10" i="28" a="1"/>
  <c r="I10" i="28" s="1"/>
  <c r="T10" i="28" a="1"/>
  <c r="T10" i="28" s="1"/>
  <c r="AN10" i="28" a="1"/>
  <c r="AN10" i="28" s="1"/>
  <c r="BH10" i="28" a="1"/>
  <c r="BH10" i="28" s="1"/>
  <c r="G11" i="28" a="1"/>
  <c r="G11" i="28" s="1"/>
  <c r="S11" i="28" a="1"/>
  <c r="S11" i="28" s="1"/>
  <c r="AE11" i="28" a="1"/>
  <c r="AE11" i="28" s="1"/>
  <c r="AQ11" i="28" a="1"/>
  <c r="AQ11" i="28" s="1"/>
  <c r="BC11" i="28" a="1"/>
  <c r="BC11" i="28" s="1"/>
  <c r="BO11" i="28" a="1"/>
  <c r="BO11" i="28" s="1"/>
  <c r="N12" i="28" a="1"/>
  <c r="N12" i="28" s="1"/>
  <c r="T7" i="28" a="1"/>
  <c r="T7" i="28" s="1"/>
  <c r="BB8" i="28" a="1"/>
  <c r="BB8" i="28" s="1"/>
  <c r="N7" i="28" a="1"/>
  <c r="N7" i="28" s="1"/>
  <c r="W7" i="28" a="1"/>
  <c r="W7" i="28" s="1"/>
  <c r="AO7" i="28" a="1"/>
  <c r="AO7" i="28" s="1"/>
  <c r="AX7" i="28" a="1"/>
  <c r="AX7" i="28" s="1"/>
  <c r="BG7" i="28" a="1"/>
  <c r="BG7" i="28" s="1"/>
  <c r="BP7" i="28" a="1"/>
  <c r="BP7" i="28" s="1"/>
  <c r="L8" i="28" a="1"/>
  <c r="L8" i="28" s="1"/>
  <c r="U8" i="28" a="1"/>
  <c r="U8" i="28" s="1"/>
  <c r="AD8" i="28" a="1"/>
  <c r="AD8" i="28" s="1"/>
  <c r="AM8" i="28" a="1"/>
  <c r="AM8" i="28" s="1"/>
  <c r="AV8" i="28" a="1"/>
  <c r="AV8" i="28" s="1"/>
  <c r="BE8" i="28" a="1"/>
  <c r="BE8" i="28" s="1"/>
  <c r="BN8" i="28" a="1"/>
  <c r="BN8" i="28" s="1"/>
  <c r="J9" i="28" a="1"/>
  <c r="J9" i="28" s="1"/>
  <c r="S9" i="28" a="1"/>
  <c r="S9" i="28" s="1"/>
  <c r="AB9" i="28" a="1"/>
  <c r="AB9" i="28" s="1"/>
  <c r="AK9" i="28" a="1"/>
  <c r="AK9" i="28" s="1"/>
  <c r="AT9" i="28" a="1"/>
  <c r="AT9" i="28" s="1"/>
  <c r="BC9" i="28" a="1"/>
  <c r="BC9" i="28" s="1"/>
  <c r="J10" i="28" a="1"/>
  <c r="J10" i="28" s="1"/>
  <c r="AD10" i="28" a="1"/>
  <c r="AD10" i="28" s="1"/>
  <c r="AO10" i="28" a="1"/>
  <c r="AO10" i="28" s="1"/>
  <c r="AY10" i="28" a="1"/>
  <c r="AY10" i="28" s="1"/>
  <c r="BJ10" i="28" a="1"/>
  <c r="BJ10" i="28" s="1"/>
  <c r="I11" i="28" a="1"/>
  <c r="I11" i="28" s="1"/>
  <c r="U11" i="28" a="1"/>
  <c r="U11" i="28" s="1"/>
  <c r="AG11" i="28" a="1"/>
  <c r="AG11" i="28" s="1"/>
  <c r="AS11" i="28" a="1"/>
  <c r="AS11" i="28" s="1"/>
  <c r="BE11" i="28" a="1"/>
  <c r="BE11" i="28" s="1"/>
  <c r="BQ11" i="28" a="1"/>
  <c r="BQ11" i="28" s="1"/>
  <c r="P12" i="28" a="1"/>
  <c r="P12" i="28" s="1"/>
  <c r="AH12" i="28" a="1"/>
  <c r="AH12" i="28" s="1"/>
  <c r="BF12" i="28" a="1"/>
  <c r="BF12" i="28" s="1"/>
  <c r="AU7" i="28" a="1"/>
  <c r="AU7" i="28" s="1"/>
  <c r="G9" i="28" a="1"/>
  <c r="G9" i="28" s="1"/>
  <c r="AF7" i="28" a="1"/>
  <c r="AF7" i="28" s="1"/>
  <c r="BM9" i="28" a="1"/>
  <c r="BM9" i="28" s="1"/>
  <c r="K10" i="28" a="1"/>
  <c r="K10" i="28" s="1"/>
  <c r="U10" i="28" a="1"/>
  <c r="U10" i="28" s="1"/>
  <c r="AF10" i="28" a="1"/>
  <c r="AF10" i="28" s="1"/>
  <c r="AZ10" i="28" a="1"/>
  <c r="AZ10" i="28" s="1"/>
  <c r="O7" i="28" a="1"/>
  <c r="O7" i="28" s="1"/>
  <c r="X7" i="28" a="1"/>
  <c r="X7" i="28" s="1"/>
  <c r="AG7" i="28" a="1"/>
  <c r="AG7" i="28" s="1"/>
  <c r="AP7" i="28" a="1"/>
  <c r="AP7" i="28" s="1"/>
  <c r="AY7" i="28" a="1"/>
  <c r="AY7" i="28" s="1"/>
  <c r="BH7" i="28" a="1"/>
  <c r="BH7" i="28" s="1"/>
  <c r="BQ7" i="28" a="1"/>
  <c r="BQ7" i="28" s="1"/>
  <c r="M8" i="28" a="1"/>
  <c r="M8" i="28" s="1"/>
  <c r="V8" i="28" a="1"/>
  <c r="V8" i="28" s="1"/>
  <c r="AE8" i="28" a="1"/>
  <c r="AE8" i="28" s="1"/>
  <c r="AN8" i="28" a="1"/>
  <c r="AN8" i="28" s="1"/>
  <c r="AW8" i="28" a="1"/>
  <c r="AW8" i="28" s="1"/>
  <c r="BF8" i="28" a="1"/>
  <c r="BF8" i="28" s="1"/>
  <c r="BO8" i="28" a="1"/>
  <c r="BO8" i="28" s="1"/>
  <c r="K9" i="28" a="1"/>
  <c r="K9" i="28" s="1"/>
  <c r="T9" i="28" a="1"/>
  <c r="T9" i="28" s="1"/>
  <c r="AC9" i="28" a="1"/>
  <c r="AC9" i="28" s="1"/>
  <c r="AL9" i="28" a="1"/>
  <c r="AL9" i="28" s="1"/>
  <c r="AU9" i="28" a="1"/>
  <c r="AU9" i="28" s="1"/>
  <c r="BD9" i="28" a="1"/>
  <c r="BD9" i="28" s="1"/>
  <c r="BO9" i="28" a="1"/>
  <c r="BO9" i="28" s="1"/>
  <c r="V10" i="28" a="1"/>
  <c r="V10" i="28" s="1"/>
  <c r="AP10" i="28" a="1"/>
  <c r="AP10" i="28" s="1"/>
  <c r="BA10" i="28" a="1"/>
  <c r="BA10" i="28" s="1"/>
  <c r="BK10" i="28" a="1"/>
  <c r="BK10" i="28" s="1"/>
  <c r="J11" i="28" a="1"/>
  <c r="J11" i="28" s="1"/>
  <c r="V11" i="28" a="1"/>
  <c r="V11" i="28" s="1"/>
  <c r="AH11" i="28" a="1"/>
  <c r="AH11" i="28" s="1"/>
  <c r="AT11" i="28" a="1"/>
  <c r="AT11" i="28" s="1"/>
  <c r="BF11" i="28" a="1"/>
  <c r="BF11" i="28" s="1"/>
  <c r="BR11" i="28" a="1"/>
  <c r="BR11" i="28" s="1"/>
  <c r="Q12" i="28" a="1"/>
  <c r="Q12" i="28" s="1"/>
  <c r="AZ7" i="28" a="1"/>
  <c r="AZ7" i="28" s="1"/>
  <c r="AF8" i="28" a="1"/>
  <c r="AF8" i="28" s="1"/>
  <c r="L9" i="28" a="1"/>
  <c r="L9" i="28" s="1"/>
  <c r="BE9" i="28" a="1"/>
  <c r="BE9" i="28" s="1"/>
  <c r="L10" i="28" a="1"/>
  <c r="L10" i="28" s="1"/>
  <c r="W10" i="28" a="1"/>
  <c r="W10" i="28" s="1"/>
  <c r="AG10" i="28" a="1"/>
  <c r="AG10" i="28" s="1"/>
  <c r="AR10" i="28" a="1"/>
  <c r="AR10" i="28" s="1"/>
  <c r="BM10" i="28" a="1"/>
  <c r="BM10" i="28" s="1"/>
  <c r="L11" i="28" a="1"/>
  <c r="L11" i="28" s="1"/>
  <c r="X11" i="28" a="1"/>
  <c r="X11" i="28" s="1"/>
  <c r="AJ11" i="28" a="1"/>
  <c r="AJ11" i="28" s="1"/>
  <c r="AV11" i="28" a="1"/>
  <c r="AV11" i="28" s="1"/>
  <c r="BH11" i="28" a="1"/>
  <c r="BH11" i="28" s="1"/>
  <c r="G12" i="28" a="1"/>
  <c r="G12" i="28" s="1"/>
  <c r="AN12" i="28" a="1"/>
  <c r="AN12" i="28" s="1"/>
  <c r="BL12" i="28" a="1"/>
  <c r="BL12" i="28" s="1"/>
  <c r="AH7" i="28" a="1"/>
  <c r="AH7" i="28" s="1"/>
  <c r="N8" i="28" a="1"/>
  <c r="N8" i="28" s="1"/>
  <c r="BG8" i="28" a="1"/>
  <c r="BG8" i="28" s="1"/>
  <c r="AV9" i="28" a="1"/>
  <c r="AV9" i="28" s="1"/>
  <c r="H7" i="28" a="1"/>
  <c r="H7" i="28" s="1"/>
  <c r="Q7" i="28" a="1"/>
  <c r="Q7" i="28" s="1"/>
  <c r="Z7" i="28" a="1"/>
  <c r="Z7" i="28" s="1"/>
  <c r="AI7" i="28" a="1"/>
  <c r="AI7" i="28" s="1"/>
  <c r="AR7" i="28" a="1"/>
  <c r="AR7" i="28" s="1"/>
  <c r="BA7" i="28" a="1"/>
  <c r="BA7" i="28" s="1"/>
  <c r="BJ7" i="28" a="1"/>
  <c r="BJ7" i="28" s="1"/>
  <c r="BS7" i="28" a="1"/>
  <c r="BS7" i="28" s="1"/>
  <c r="O8" i="28" a="1"/>
  <c r="O8" i="28" s="1"/>
  <c r="X8" i="28" a="1"/>
  <c r="X8" i="28" s="1"/>
  <c r="AG8" i="28" a="1"/>
  <c r="AG8" i="28" s="1"/>
  <c r="AP8" i="28" a="1"/>
  <c r="AP8" i="28" s="1"/>
  <c r="AY8" i="28" a="1"/>
  <c r="AY8" i="28" s="1"/>
  <c r="BH8" i="28" a="1"/>
  <c r="BH8" i="28" s="1"/>
  <c r="BQ8" i="28" a="1"/>
  <c r="BQ8" i="28" s="1"/>
  <c r="M9" i="28" a="1"/>
  <c r="M9" i="28" s="1"/>
  <c r="V9" i="28" a="1"/>
  <c r="V9" i="28" s="1"/>
  <c r="AE9" i="28" a="1"/>
  <c r="AE9" i="28" s="1"/>
  <c r="AN9" i="28" a="1"/>
  <c r="AN9" i="28" s="1"/>
  <c r="AW9" i="28" a="1"/>
  <c r="AW9" i="28" s="1"/>
  <c r="BF9" i="28" a="1"/>
  <c r="BF9" i="28" s="1"/>
  <c r="BP9" i="28" a="1"/>
  <c r="BP9" i="28" s="1"/>
  <c r="N10" i="28" a="1"/>
  <c r="N10" i="28" s="1"/>
  <c r="AH10" i="28" a="1"/>
  <c r="AH10" i="28" s="1"/>
  <c r="BB10" i="28" a="1"/>
  <c r="BB10" i="28" s="1"/>
  <c r="T12" i="28" a="1"/>
  <c r="T12" i="28" s="1"/>
  <c r="BQ9" i="28" a="1"/>
  <c r="BQ9" i="28" s="1"/>
  <c r="X10" i="28" a="1"/>
  <c r="X10" i="28" s="1"/>
  <c r="AI10" i="28" a="1"/>
  <c r="AI10" i="28" s="1"/>
  <c r="AS10" i="28" a="1"/>
  <c r="AS10" i="28" s="1"/>
  <c r="BD10" i="28" a="1"/>
  <c r="BD10" i="28" s="1"/>
  <c r="BN10" i="28" a="1"/>
  <c r="BN10" i="28" s="1"/>
  <c r="M11" i="28" a="1"/>
  <c r="M11" i="28" s="1"/>
  <c r="Y11" i="28" a="1"/>
  <c r="Y11" i="28" s="1"/>
  <c r="AK11" i="28" a="1"/>
  <c r="AK11" i="28" s="1"/>
  <c r="AW11" i="28" a="1"/>
  <c r="AW11" i="28" s="1"/>
  <c r="BI11" i="28" a="1"/>
  <c r="BI11" i="28" s="1"/>
  <c r="H12" i="28" a="1"/>
  <c r="H12" i="28" s="1"/>
  <c r="V12" i="28" a="1"/>
  <c r="V12" i="28" s="1"/>
  <c r="K7" i="27" a="1"/>
  <c r="K7" i="27" s="1"/>
  <c r="BD7" i="27" a="1"/>
  <c r="BD7" i="27" s="1"/>
  <c r="R8" i="27" a="1"/>
  <c r="R8" i="27" s="1"/>
  <c r="BC8" i="27" a="1"/>
  <c r="BC8" i="27" s="1"/>
  <c r="K9" i="27" a="1"/>
  <c r="K9" i="27" s="1"/>
  <c r="U9" i="27" a="1"/>
  <c r="U9" i="27" s="1"/>
  <c r="AE9" i="27" a="1"/>
  <c r="AE9" i="27" s="1"/>
  <c r="AZ9" i="27" a="1"/>
  <c r="AZ9" i="27" s="1"/>
  <c r="BJ9" i="27" a="1"/>
  <c r="BJ9" i="27" s="1"/>
  <c r="G10" i="27" a="1"/>
  <c r="G10" i="27" s="1"/>
  <c r="R10" i="27" a="1"/>
  <c r="R10" i="27" s="1"/>
  <c r="AB10" i="27" a="1"/>
  <c r="AB10" i="27" s="1"/>
  <c r="AL10" i="27" a="1"/>
  <c r="AL10" i="27" s="1"/>
  <c r="BH10" i="27" a="1"/>
  <c r="BH10" i="27" s="1"/>
  <c r="G11" i="27" a="1"/>
  <c r="G11" i="27" s="1"/>
  <c r="U11" i="27" a="1"/>
  <c r="U11" i="27" s="1"/>
  <c r="AJ11" i="27" a="1"/>
  <c r="AJ11" i="27" s="1"/>
  <c r="BL11" i="27" a="1"/>
  <c r="BL11" i="27" s="1"/>
  <c r="N12" i="27" a="1"/>
  <c r="N12" i="27" s="1"/>
  <c r="AB12" i="27" a="1"/>
  <c r="AB12" i="27" s="1"/>
  <c r="AU12" i="27" a="1"/>
  <c r="AU12" i="27" s="1"/>
  <c r="U7" i="27" a="1"/>
  <c r="U7" i="27" s="1"/>
  <c r="AM7" i="27" a="1"/>
  <c r="AM7" i="27" s="1"/>
  <c r="BE7" i="27" a="1"/>
  <c r="BE7" i="27" s="1"/>
  <c r="J8" i="27" a="1"/>
  <c r="J8" i="27" s="1"/>
  <c r="AB8" i="27" a="1"/>
  <c r="AB8" i="27" s="1"/>
  <c r="AT8" i="27" a="1"/>
  <c r="AT8" i="27" s="1"/>
  <c r="BD8" i="27" a="1"/>
  <c r="BD8" i="27" s="1"/>
  <c r="BN8" i="27" a="1"/>
  <c r="BN8" i="27" s="1"/>
  <c r="V9" i="27" a="1"/>
  <c r="V9" i="27" s="1"/>
  <c r="AF9" i="27" a="1"/>
  <c r="AF9" i="27" s="1"/>
  <c r="AP9" i="27" a="1"/>
  <c r="AP9" i="27" s="1"/>
  <c r="BA9" i="27" a="1"/>
  <c r="BA9" i="27" s="1"/>
  <c r="BK9" i="27" a="1"/>
  <c r="BK9" i="27" s="1"/>
  <c r="H10" i="27" a="1"/>
  <c r="H10" i="27" s="1"/>
  <c r="AC10" i="27" a="1"/>
  <c r="AC10" i="27" s="1"/>
  <c r="AM10" i="27" a="1"/>
  <c r="AM10" i="27" s="1"/>
  <c r="AW10" i="27" a="1"/>
  <c r="AW10" i="27" s="1"/>
  <c r="V11" i="27" a="1"/>
  <c r="V11" i="27" s="1"/>
  <c r="AK11" i="27" a="1"/>
  <c r="AK11" i="27" s="1"/>
  <c r="AY11" i="27" a="1"/>
  <c r="AY11" i="27" s="1"/>
  <c r="BN11" i="27" a="1"/>
  <c r="BN11" i="27" s="1"/>
  <c r="AF11" i="27" a="1"/>
  <c r="AF11" i="27" s="1"/>
  <c r="BQ12" i="27" a="1"/>
  <c r="BQ12" i="27" s="1"/>
  <c r="BK12" i="27" a="1"/>
  <c r="BK12" i="27" s="1"/>
  <c r="BE12" i="27" a="1"/>
  <c r="BE12" i="27" s="1"/>
  <c r="AY12" i="27" a="1"/>
  <c r="AY12" i="27" s="1"/>
  <c r="AS12" i="27" a="1"/>
  <c r="AS12" i="27" s="1"/>
  <c r="AM12" i="27" a="1"/>
  <c r="AM12" i="27" s="1"/>
  <c r="AG12" i="27" a="1"/>
  <c r="AG12" i="27" s="1"/>
  <c r="AA12" i="27" a="1"/>
  <c r="AA12" i="27" s="1"/>
  <c r="U12" i="27" a="1"/>
  <c r="U12" i="27" s="1"/>
  <c r="O12" i="27" a="1"/>
  <c r="O12" i="27" s="1"/>
  <c r="I12" i="27" a="1"/>
  <c r="I12" i="27" s="1"/>
  <c r="BP11" i="27" a="1"/>
  <c r="BP11" i="27" s="1"/>
  <c r="BJ11" i="27" a="1"/>
  <c r="BJ11" i="27" s="1"/>
  <c r="BD11" i="27" a="1"/>
  <c r="BD11" i="27" s="1"/>
  <c r="AX11" i="27" a="1"/>
  <c r="AX11" i="27" s="1"/>
  <c r="AR11" i="27" a="1"/>
  <c r="AR11" i="27" s="1"/>
  <c r="AL11" i="27" a="1"/>
  <c r="AL11" i="27" s="1"/>
  <c r="Z11" i="27" a="1"/>
  <c r="Z11" i="27" s="1"/>
  <c r="T11" i="27" a="1"/>
  <c r="T11" i="27" s="1"/>
  <c r="N11" i="27" a="1"/>
  <c r="N11" i="27" s="1"/>
  <c r="H11" i="27" a="1"/>
  <c r="H11" i="27" s="1"/>
  <c r="BP12" i="27" a="1"/>
  <c r="BP12" i="27" s="1"/>
  <c r="BJ12" i="27" a="1"/>
  <c r="BJ12" i="27" s="1"/>
  <c r="BD12" i="27" a="1"/>
  <c r="BD12" i="27" s="1"/>
  <c r="AX12" i="27" a="1"/>
  <c r="AX12" i="27" s="1"/>
  <c r="AR12" i="27" a="1"/>
  <c r="AR12" i="27" s="1"/>
  <c r="AL12" i="27" a="1"/>
  <c r="AL12" i="27" s="1"/>
  <c r="AW12" i="27" a="1"/>
  <c r="AW12" i="27" s="1"/>
  <c r="BO12" i="27" a="1"/>
  <c r="BO12" i="27" s="1"/>
  <c r="BI12" i="27" a="1"/>
  <c r="BI12" i="27" s="1"/>
  <c r="BC12" i="27" a="1"/>
  <c r="BC12" i="27" s="1"/>
  <c r="AQ12" i="27" a="1"/>
  <c r="AQ12" i="27" s="1"/>
  <c r="AK12" i="27" a="1"/>
  <c r="AK12" i="27" s="1"/>
  <c r="BN12" i="27" a="1"/>
  <c r="BN12" i="27" s="1"/>
  <c r="AD12" i="27" a="1"/>
  <c r="AD12" i="27" s="1"/>
  <c r="L12" i="27" a="1"/>
  <c r="L12" i="27" s="1"/>
  <c r="BG11" i="27" a="1"/>
  <c r="BG11" i="27" s="1"/>
  <c r="AU11" i="27" a="1"/>
  <c r="AU11" i="27" s="1"/>
  <c r="AC11" i="27" a="1"/>
  <c r="AC11" i="27" s="1"/>
  <c r="Q11" i="27" a="1"/>
  <c r="Q11" i="27" s="1"/>
  <c r="BR10" i="27" a="1"/>
  <c r="BR10" i="27" s="1"/>
  <c r="BH12" i="27" a="1"/>
  <c r="BH12" i="27" s="1"/>
  <c r="BB12" i="27" a="1"/>
  <c r="BB12" i="27" s="1"/>
  <c r="AV12" i="27" a="1"/>
  <c r="AV12" i="27" s="1"/>
  <c r="AP12" i="27" a="1"/>
  <c r="AP12" i="27" s="1"/>
  <c r="AJ12" i="27" a="1"/>
  <c r="AJ12" i="27" s="1"/>
  <c r="X12" i="27" a="1"/>
  <c r="X12" i="27" s="1"/>
  <c r="R12" i="27" a="1"/>
  <c r="R12" i="27" s="1"/>
  <c r="BS11" i="27" a="1"/>
  <c r="BS11" i="27" s="1"/>
  <c r="BM11" i="27" a="1"/>
  <c r="BM11" i="27" s="1"/>
  <c r="BA11" i="27" a="1"/>
  <c r="BA11" i="27" s="1"/>
  <c r="AO11" i="27" a="1"/>
  <c r="AO11" i="27" s="1"/>
  <c r="AI11" i="27" a="1"/>
  <c r="AI11" i="27" s="1"/>
  <c r="W11" i="27" a="1"/>
  <c r="W11" i="27" s="1"/>
  <c r="K11" i="27" a="1"/>
  <c r="K11" i="27" s="1"/>
  <c r="BL10" i="27" a="1"/>
  <c r="BL10" i="27" s="1"/>
  <c r="BF10" i="27" a="1"/>
  <c r="BF10" i="27" s="1"/>
  <c r="A6" i="27"/>
  <c r="L7" i="27" a="1"/>
  <c r="L7" i="27" s="1"/>
  <c r="AK8" i="27" a="1"/>
  <c r="AK8" i="27" s="1"/>
  <c r="AQ9" i="27" a="1"/>
  <c r="AQ9" i="27" s="1"/>
  <c r="AD10" i="27" a="1"/>
  <c r="AD10" i="27" s="1"/>
  <c r="AE12" i="27" a="1"/>
  <c r="AE12" i="27" s="1"/>
  <c r="AE7" i="27" a="1"/>
  <c r="AE7" i="27" s="1"/>
  <c r="AU8" i="27" a="1"/>
  <c r="AU8" i="27" s="1"/>
  <c r="BM9" i="27" a="1"/>
  <c r="BM9" i="27" s="1"/>
  <c r="AO10" i="27" a="1"/>
  <c r="AO10" i="27" s="1"/>
  <c r="AY10" i="27" a="1"/>
  <c r="AY10" i="27" s="1"/>
  <c r="BJ10" i="27" a="1"/>
  <c r="BJ10" i="27" s="1"/>
  <c r="J11" i="27" a="1"/>
  <c r="J11" i="27" s="1"/>
  <c r="Y11" i="27" a="1"/>
  <c r="Y11" i="27" s="1"/>
  <c r="AM11" i="27" a="1"/>
  <c r="AM11" i="27" s="1"/>
  <c r="BB11" i="27" a="1"/>
  <c r="BB11" i="27" s="1"/>
  <c r="Q12" i="27" a="1"/>
  <c r="Q12" i="27" s="1"/>
  <c r="AF12" i="27" a="1"/>
  <c r="AF12" i="27" s="1"/>
  <c r="BA12" i="27" a="1"/>
  <c r="BA12" i="27" s="1"/>
  <c r="AR7" i="27" a="1"/>
  <c r="AR7" i="27" s="1"/>
  <c r="AU7" i="27" a="1"/>
  <c r="AU7" i="27" s="1"/>
  <c r="AS8" i="27" a="1"/>
  <c r="AS8" i="27" s="1"/>
  <c r="BN7" i="27" a="1"/>
  <c r="BN7" i="27" s="1"/>
  <c r="BO8" i="27" a="1"/>
  <c r="BO8" i="27" s="1"/>
  <c r="BL9" i="27" a="1"/>
  <c r="BL9" i="27" s="1"/>
  <c r="AX10" i="27" a="1"/>
  <c r="AX10" i="27" s="1"/>
  <c r="AZ11" i="27" a="1"/>
  <c r="AZ11" i="27" s="1"/>
  <c r="AW7" i="27" a="1"/>
  <c r="AW7" i="27" s="1"/>
  <c r="AH9" i="27" a="1"/>
  <c r="AH9" i="27" s="1"/>
  <c r="AX7" i="27" a="1"/>
  <c r="AX7" i="27" s="1"/>
  <c r="AV8" i="27" a="1"/>
  <c r="AV8" i="27" s="1"/>
  <c r="N9" i="27" a="1"/>
  <c r="N9" i="27" s="1"/>
  <c r="X9" i="27" a="1"/>
  <c r="X9" i="27" s="1"/>
  <c r="AI9" i="27" a="1"/>
  <c r="AI9" i="27" s="1"/>
  <c r="AS9" i="27" a="1"/>
  <c r="AS9" i="27" s="1"/>
  <c r="BC9" i="27" a="1"/>
  <c r="BC9" i="27" s="1"/>
  <c r="K10" i="27" a="1"/>
  <c r="K10" i="27" s="1"/>
  <c r="U10" i="27" a="1"/>
  <c r="U10" i="27" s="1"/>
  <c r="AE10" i="27" a="1"/>
  <c r="AE10" i="27" s="1"/>
  <c r="AP10" i="27" a="1"/>
  <c r="AP10" i="27" s="1"/>
  <c r="AZ10" i="27" a="1"/>
  <c r="AZ10" i="27" s="1"/>
  <c r="BK10" i="27" a="1"/>
  <c r="BK10" i="27" s="1"/>
  <c r="L11" i="27" a="1"/>
  <c r="L11" i="27" s="1"/>
  <c r="AN11" i="27" a="1"/>
  <c r="AN11" i="27" s="1"/>
  <c r="BC11" i="27" a="1"/>
  <c r="BC11" i="27" s="1"/>
  <c r="BQ11" i="27" a="1"/>
  <c r="BQ11" i="27" s="1"/>
  <c r="S12" i="27" a="1"/>
  <c r="S12" i="27" s="1"/>
  <c r="AI7" i="27" a="1"/>
  <c r="AI7" i="27" s="1"/>
  <c r="T7" i="27" a="1"/>
  <c r="T7" i="27" s="1"/>
  <c r="AL7" i="27" a="1"/>
  <c r="AL7" i="27" s="1"/>
  <c r="BM7" i="27" a="1"/>
  <c r="BM7" i="27" s="1"/>
  <c r="I8" i="27" a="1"/>
  <c r="I8" i="27" s="1"/>
  <c r="AA8" i="27" a="1"/>
  <c r="AA8" i="27" s="1"/>
  <c r="BM8" i="27" a="1"/>
  <c r="BM8" i="27" s="1"/>
  <c r="AD7" i="27" a="1"/>
  <c r="AD7" i="27" s="1"/>
  <c r="AV7" i="27" a="1"/>
  <c r="AV7" i="27" s="1"/>
  <c r="S8" i="27" a="1"/>
  <c r="S8" i="27" s="1"/>
  <c r="BE8" i="27" a="1"/>
  <c r="BE8" i="27" s="1"/>
  <c r="L9" i="27" a="1"/>
  <c r="L9" i="27" s="1"/>
  <c r="W9" i="27" a="1"/>
  <c r="W9" i="27" s="1"/>
  <c r="AG9" i="27" a="1"/>
  <c r="AG9" i="27" s="1"/>
  <c r="I10" i="27" a="1"/>
  <c r="I10" i="27" s="1"/>
  <c r="S10" i="27" a="1"/>
  <c r="S10" i="27" s="1"/>
  <c r="AN10" i="27" a="1"/>
  <c r="AN10" i="27" s="1"/>
  <c r="BI10" i="27" a="1"/>
  <c r="BI10" i="27" s="1"/>
  <c r="I11" i="27" a="1"/>
  <c r="I11" i="27" s="1"/>
  <c r="X11" i="27" a="1"/>
  <c r="X11" i="27" s="1"/>
  <c r="BO11" i="27" a="1"/>
  <c r="BO11" i="27" s="1"/>
  <c r="P12" i="27" a="1"/>
  <c r="P12" i="27" s="1"/>
  <c r="AZ12" i="27" a="1"/>
  <c r="AZ12" i="27" s="1"/>
  <c r="V7" i="27" a="1"/>
  <c r="V7" i="27" s="1"/>
  <c r="BF7" i="27" a="1"/>
  <c r="BF7" i="27" s="1"/>
  <c r="T8" i="27" a="1"/>
  <c r="T8" i="27" s="1"/>
  <c r="AL8" i="27" a="1"/>
  <c r="AL8" i="27" s="1"/>
  <c r="BP8" i="27" a="1"/>
  <c r="BP8" i="27" s="1"/>
  <c r="AR9" i="27" a="1"/>
  <c r="AR9" i="27" s="1"/>
  <c r="T10" i="27" a="1"/>
  <c r="T10" i="27" s="1"/>
  <c r="N7" i="27" a="1"/>
  <c r="N7" i="27" s="1"/>
  <c r="AF7" i="27" a="1"/>
  <c r="AF7" i="27" s="1"/>
  <c r="BG7" i="27" a="1"/>
  <c r="BG7" i="27" s="1"/>
  <c r="U8" i="27" a="1"/>
  <c r="U8" i="27" s="1"/>
  <c r="AM8" i="27" a="1"/>
  <c r="AM8" i="27" s="1"/>
  <c r="O7" i="27" a="1"/>
  <c r="O7" i="27" s="1"/>
  <c r="BQ7" i="27" a="1"/>
  <c r="BQ7" i="27" s="1"/>
  <c r="AN8" i="27" a="1"/>
  <c r="AN8" i="27" s="1"/>
  <c r="BG8" i="27" a="1"/>
  <c r="BG8" i="27" s="1"/>
  <c r="O9" i="27" a="1"/>
  <c r="O9" i="27" s="1"/>
  <c r="Y9" i="27" a="1"/>
  <c r="Y9" i="27" s="1"/>
  <c r="AT9" i="27" a="1"/>
  <c r="AT9" i="27" s="1"/>
  <c r="BD9" i="27" a="1"/>
  <c r="BD9" i="27" s="1"/>
  <c r="BN9" i="27" a="1"/>
  <c r="BN9" i="27" s="1"/>
  <c r="L10" i="27" a="1"/>
  <c r="L10" i="27" s="1"/>
  <c r="V10" i="27" a="1"/>
  <c r="V10" i="27" s="1"/>
  <c r="AF10" i="27" a="1"/>
  <c r="AF10" i="27" s="1"/>
  <c r="BA10" i="27" a="1"/>
  <c r="BA10" i="27" s="1"/>
  <c r="BM10" i="27" a="1"/>
  <c r="BM10" i="27" s="1"/>
  <c r="M11" i="27" a="1"/>
  <c r="M11" i="27" s="1"/>
  <c r="AA11" i="27" a="1"/>
  <c r="AA11" i="27" s="1"/>
  <c r="AP11" i="27" a="1"/>
  <c r="AP11" i="27" s="1"/>
  <c r="BR11" i="27" a="1"/>
  <c r="BR11" i="27" s="1"/>
  <c r="T12" i="27" a="1"/>
  <c r="T12" i="27" s="1"/>
  <c r="AH12" i="27" a="1"/>
  <c r="AH12" i="27" s="1"/>
  <c r="BF12" i="27" a="1"/>
  <c r="BF12" i="27" s="1"/>
  <c r="M7" i="27" a="1"/>
  <c r="M7" i="27" s="1"/>
  <c r="AN7" i="27" a="1"/>
  <c r="AN7" i="27" s="1"/>
  <c r="BO7" i="27" a="1"/>
  <c r="BO7" i="27" s="1"/>
  <c r="K8" i="27" a="1"/>
  <c r="K8" i="27" s="1"/>
  <c r="AC8" i="27" a="1"/>
  <c r="AC8" i="27" s="1"/>
  <c r="BF8" i="27" a="1"/>
  <c r="BF8" i="27" s="1"/>
  <c r="M9" i="27" a="1"/>
  <c r="M9" i="27" s="1"/>
  <c r="BB9" i="27" a="1"/>
  <c r="BB9" i="27" s="1"/>
  <c r="J10" i="27" a="1"/>
  <c r="J10" i="27" s="1"/>
  <c r="W7" i="27" a="1"/>
  <c r="W7" i="27" s="1"/>
  <c r="AO7" i="27" a="1"/>
  <c r="AO7" i="27" s="1"/>
  <c r="BP7" i="27" a="1"/>
  <c r="BP7" i="27" s="1"/>
  <c r="L8" i="27" a="1"/>
  <c r="L8" i="27" s="1"/>
  <c r="AD8" i="27" a="1"/>
  <c r="AD8" i="27" s="1"/>
  <c r="BQ8" i="27" a="1"/>
  <c r="BQ8" i="27" s="1"/>
  <c r="AG7" i="27" a="1"/>
  <c r="AG7" i="27" s="1"/>
  <c r="AY7" i="27" a="1"/>
  <c r="AY7" i="27" s="1"/>
  <c r="V8" i="27" a="1"/>
  <c r="V8" i="27" s="1"/>
  <c r="AW8" i="27" a="1"/>
  <c r="AW8" i="27" s="1"/>
  <c r="BR8" i="27" a="1"/>
  <c r="BR8" i="27" s="1"/>
  <c r="X7" i="27" a="1"/>
  <c r="X7" i="27" s="1"/>
  <c r="AP7" i="27" a="1"/>
  <c r="AP7" i="27" s="1"/>
  <c r="BH7" i="27" a="1"/>
  <c r="BH7" i="27" s="1"/>
  <c r="M8" i="27" a="1"/>
  <c r="M8" i="27" s="1"/>
  <c r="AE8" i="27" a="1"/>
  <c r="AE8" i="27" s="1"/>
  <c r="AX8" i="27" a="1"/>
  <c r="AX8" i="27" s="1"/>
  <c r="BH8" i="27" a="1"/>
  <c r="BH8" i="27" s="1"/>
  <c r="P9" i="27" a="1"/>
  <c r="P9" i="27" s="1"/>
  <c r="Z9" i="27" a="1"/>
  <c r="Z9" i="27" s="1"/>
  <c r="AJ9" i="27" a="1"/>
  <c r="AJ9" i="27" s="1"/>
  <c r="AU9" i="27" a="1"/>
  <c r="AU9" i="27" s="1"/>
  <c r="BE9" i="27" a="1"/>
  <c r="BE9" i="27" s="1"/>
  <c r="BO9" i="27" a="1"/>
  <c r="BO9" i="27" s="1"/>
  <c r="W10" i="27" a="1"/>
  <c r="W10" i="27" s="1"/>
  <c r="AG10" i="27" a="1"/>
  <c r="AG10" i="27" s="1"/>
  <c r="AQ10" i="27" a="1"/>
  <c r="AQ10" i="27" s="1"/>
  <c r="BB10" i="27" a="1"/>
  <c r="BB10" i="27" s="1"/>
  <c r="BN10" i="27" a="1"/>
  <c r="BN10" i="27" s="1"/>
  <c r="AB11" i="27" a="1"/>
  <c r="AB11" i="27" s="1"/>
  <c r="AQ11" i="27" a="1"/>
  <c r="AQ11" i="27" s="1"/>
  <c r="BE11" i="27" a="1"/>
  <c r="BE11" i="27" s="1"/>
  <c r="G12" i="27" a="1"/>
  <c r="G12" i="27" s="1"/>
  <c r="AI12" i="27" a="1"/>
  <c r="AI12" i="27" s="1"/>
  <c r="BG12" i="27" a="1"/>
  <c r="BG12" i="27" s="1"/>
  <c r="Q7" i="27" a="1"/>
  <c r="Q7" i="27" s="1"/>
  <c r="AC7" i="27" a="1"/>
  <c r="AC7" i="27" s="1"/>
  <c r="AJ8" i="27" a="1"/>
  <c r="AJ8" i="27" s="1"/>
  <c r="G7" i="27" a="1"/>
  <c r="G7" i="27" s="1"/>
  <c r="P7" i="27" a="1"/>
  <c r="P7" i="27" s="1"/>
  <c r="Y7" i="27" a="1"/>
  <c r="Y7" i="27" s="1"/>
  <c r="AH7" i="27" a="1"/>
  <c r="AH7" i="27" s="1"/>
  <c r="AQ7" i="27" a="1"/>
  <c r="AQ7" i="27" s="1"/>
  <c r="AZ7" i="27" a="1"/>
  <c r="AZ7" i="27" s="1"/>
  <c r="BI7" i="27" a="1"/>
  <c r="BI7" i="27" s="1"/>
  <c r="BR7" i="27" a="1"/>
  <c r="BR7" i="27" s="1"/>
  <c r="N8" i="27" a="1"/>
  <c r="N8" i="27" s="1"/>
  <c r="W8" i="27" a="1"/>
  <c r="W8" i="27" s="1"/>
  <c r="AF8" i="27" a="1"/>
  <c r="AF8" i="27" s="1"/>
  <c r="AO8" i="27" a="1"/>
  <c r="AO8" i="27" s="1"/>
  <c r="AY8" i="27" a="1"/>
  <c r="AY8" i="27" s="1"/>
  <c r="BI8" i="27" a="1"/>
  <c r="BI8" i="27" s="1"/>
  <c r="BS8" i="27" a="1"/>
  <c r="BS8" i="27" s="1"/>
  <c r="Q9" i="27" a="1"/>
  <c r="Q9" i="27" s="1"/>
  <c r="AA9" i="27" a="1"/>
  <c r="AA9" i="27" s="1"/>
  <c r="AK9" i="27" a="1"/>
  <c r="AK9" i="27" s="1"/>
  <c r="BF9" i="27" a="1"/>
  <c r="BF9" i="27" s="1"/>
  <c r="BP9" i="27" a="1"/>
  <c r="BP9" i="27" s="1"/>
  <c r="M10" i="27" a="1"/>
  <c r="M10" i="27" s="1"/>
  <c r="X10" i="27" a="1"/>
  <c r="X10" i="27" s="1"/>
  <c r="AH10" i="27" a="1"/>
  <c r="AH10" i="27" s="1"/>
  <c r="AR10" i="27" a="1"/>
  <c r="AR10" i="27" s="1"/>
  <c r="O11" i="27" a="1"/>
  <c r="O11" i="27" s="1"/>
  <c r="AD11" i="27" a="1"/>
  <c r="AD11" i="27" s="1"/>
  <c r="BF11" i="27" a="1"/>
  <c r="BF11" i="27" s="1"/>
  <c r="H12" i="27" a="1"/>
  <c r="H12" i="27" s="1"/>
  <c r="V12" i="27" a="1"/>
  <c r="V12" i="27" s="1"/>
  <c r="BA7" i="27" a="1"/>
  <c r="BA7" i="27" s="1"/>
  <c r="BJ7" i="27" a="1"/>
  <c r="BJ7" i="27" s="1"/>
  <c r="BS7" i="27" a="1"/>
  <c r="BS7" i="27" s="1"/>
  <c r="O8" i="27" a="1"/>
  <c r="O8" i="27" s="1"/>
  <c r="X8" i="27" a="1"/>
  <c r="X8" i="27" s="1"/>
  <c r="AG8" i="27" a="1"/>
  <c r="AG8" i="27" s="1"/>
  <c r="AP8" i="27" a="1"/>
  <c r="AP8" i="27" s="1"/>
  <c r="AZ8" i="27" a="1"/>
  <c r="AZ8" i="27" s="1"/>
  <c r="BJ8" i="27" a="1"/>
  <c r="BJ8" i="27" s="1"/>
  <c r="G9" i="27" a="1"/>
  <c r="G9" i="27" s="1"/>
  <c r="AB9" i="27" a="1"/>
  <c r="AB9" i="27" s="1"/>
  <c r="AL9" i="27" a="1"/>
  <c r="AL9" i="27" s="1"/>
  <c r="AV9" i="27" a="1"/>
  <c r="AV9" i="27" s="1"/>
  <c r="BG9" i="27" a="1"/>
  <c r="BG9" i="27" s="1"/>
  <c r="BQ9" i="27" a="1"/>
  <c r="BQ9" i="27" s="1"/>
  <c r="N10" i="27" a="1"/>
  <c r="N10" i="27" s="1"/>
  <c r="AI10" i="27" a="1"/>
  <c r="AI10" i="27" s="1"/>
  <c r="AS10" i="27" a="1"/>
  <c r="AS10" i="27" s="1"/>
  <c r="BC10" i="27" a="1"/>
  <c r="BC10" i="27" s="1"/>
  <c r="BO10" i="27" a="1"/>
  <c r="BO10" i="27" s="1"/>
  <c r="P11" i="27" a="1"/>
  <c r="P11" i="27" s="1"/>
  <c r="AE11" i="27" a="1"/>
  <c r="AE11" i="27" s="1"/>
  <c r="AS11" i="27" a="1"/>
  <c r="AS11" i="27" s="1"/>
  <c r="BH11" i="27" a="1"/>
  <c r="BH11" i="27" s="1"/>
  <c r="W12" i="27" a="1"/>
  <c r="W12" i="27" s="1"/>
  <c r="AN12" i="27" a="1"/>
  <c r="AN12" i="27" s="1"/>
  <c r="BL12" i="27" a="1"/>
  <c r="BL12" i="27" s="1"/>
  <c r="I7" i="27" a="1"/>
  <c r="I7" i="27" s="1"/>
  <c r="AA7" i="27" a="1"/>
  <c r="AA7" i="27" s="1"/>
  <c r="AS7" i="27" a="1"/>
  <c r="AS7" i="27" s="1"/>
  <c r="BK7" i="27" a="1"/>
  <c r="BK7" i="27" s="1"/>
  <c r="P8" i="27" a="1"/>
  <c r="P8" i="27" s="1"/>
  <c r="AH8" i="27" a="1"/>
  <c r="AH8" i="27" s="1"/>
  <c r="BK8" i="27" a="1"/>
  <c r="BK8" i="27" s="1"/>
  <c r="H9" i="27" a="1"/>
  <c r="H9" i="27" s="1"/>
  <c r="R9" i="27" a="1"/>
  <c r="R9" i="27" s="1"/>
  <c r="AC9" i="27" a="1"/>
  <c r="AC9" i="27" s="1"/>
  <c r="AM9" i="27" a="1"/>
  <c r="AM9" i="27" s="1"/>
  <c r="AW9" i="27" a="1"/>
  <c r="AW9" i="27" s="1"/>
  <c r="BR9" i="27" a="1"/>
  <c r="BR9" i="27" s="1"/>
  <c r="O10" i="27" a="1"/>
  <c r="O10" i="27" s="1"/>
  <c r="Y10" i="27" a="1"/>
  <c r="Y10" i="27" s="1"/>
  <c r="AJ10" i="27" a="1"/>
  <c r="AJ10" i="27" s="1"/>
  <c r="AT10" i="27" a="1"/>
  <c r="AT10" i="27" s="1"/>
  <c r="BD10" i="27" a="1"/>
  <c r="BD10" i="27" s="1"/>
  <c r="BP10" i="27" a="1"/>
  <c r="BP10" i="27" s="1"/>
  <c r="R11" i="27" a="1"/>
  <c r="R11" i="27" s="1"/>
  <c r="AT11" i="27" a="1"/>
  <c r="AT11" i="27" s="1"/>
  <c r="BI11" i="27" a="1"/>
  <c r="BI11" i="27" s="1"/>
  <c r="J12" i="27" a="1"/>
  <c r="J12" i="27" s="1"/>
  <c r="Y12" i="27" a="1"/>
  <c r="Y12" i="27" s="1"/>
  <c r="AO12" i="27" a="1"/>
  <c r="AO12" i="27" s="1"/>
  <c r="BM12" i="27" a="1"/>
  <c r="BM12" i="27" s="1"/>
  <c r="Z7" i="27" a="1"/>
  <c r="Z7" i="27" s="1"/>
  <c r="R7" i="27" a="1"/>
  <c r="R7" i="27" s="1"/>
  <c r="AJ7" i="27" a="1"/>
  <c r="AJ7" i="27" s="1"/>
  <c r="BB7" i="27" a="1"/>
  <c r="BB7" i="27" s="1"/>
  <c r="G8" i="27" a="1"/>
  <c r="G8" i="27" s="1"/>
  <c r="Y8" i="27" a="1"/>
  <c r="Y8" i="27" s="1"/>
  <c r="AQ8" i="27" a="1"/>
  <c r="AQ8" i="27" s="1"/>
  <c r="BA8" i="27" a="1"/>
  <c r="BA8" i="27" s="1"/>
  <c r="BL8" i="27" a="1"/>
  <c r="BL8" i="27" s="1"/>
  <c r="I9" i="27" a="1"/>
  <c r="I9" i="27" s="1"/>
  <c r="S9" i="27" a="1"/>
  <c r="S9" i="27" s="1"/>
  <c r="AN9" i="27" a="1"/>
  <c r="AN9" i="27" s="1"/>
  <c r="AX9" i="27" a="1"/>
  <c r="AX9" i="27" s="1"/>
  <c r="BH9" i="27" a="1"/>
  <c r="BH9" i="27" s="1"/>
  <c r="BS9" i="27" a="1"/>
  <c r="BS9" i="27" s="1"/>
  <c r="P10" i="27" a="1"/>
  <c r="P10" i="27" s="1"/>
  <c r="Z10" i="27" a="1"/>
  <c r="Z10" i="27" s="1"/>
  <c r="AU10" i="27" a="1"/>
  <c r="AU10" i="27" s="1"/>
  <c r="BE10" i="27" a="1"/>
  <c r="BE10" i="27" s="1"/>
  <c r="BQ10" i="27" a="1"/>
  <c r="BQ10" i="27" s="1"/>
  <c r="S11" i="27" a="1"/>
  <c r="S11" i="27" s="1"/>
  <c r="AG11" i="27" a="1"/>
  <c r="AG11" i="27" s="1"/>
  <c r="AV11" i="27" a="1"/>
  <c r="AV11" i="27" s="1"/>
  <c r="K12" i="27" a="1"/>
  <c r="K12" i="27" s="1"/>
  <c r="Z12" i="27" a="1"/>
  <c r="Z12" i="27" s="1"/>
  <c r="BR12" i="27" a="1"/>
  <c r="BR12" i="27" s="1"/>
  <c r="H7" i="27" a="1"/>
  <c r="H7" i="27" s="1"/>
  <c r="J7" i="27" a="1"/>
  <c r="J7" i="27" s="1"/>
  <c r="S7" i="27" a="1"/>
  <c r="S7" i="27" s="1"/>
  <c r="AB7" i="27" a="1"/>
  <c r="AB7" i="27" s="1"/>
  <c r="AK7" i="27" a="1"/>
  <c r="AK7" i="27" s="1"/>
  <c r="AT7" i="27" a="1"/>
  <c r="AT7" i="27" s="1"/>
  <c r="BC7" i="27" a="1"/>
  <c r="BC7" i="27" s="1"/>
  <c r="BL7" i="27" a="1"/>
  <c r="BL7" i="27" s="1"/>
  <c r="H8" i="27" a="1"/>
  <c r="H8" i="27" s="1"/>
  <c r="Q8" i="27" a="1"/>
  <c r="Q8" i="27" s="1"/>
  <c r="Z8" i="27" a="1"/>
  <c r="Z8" i="27" s="1"/>
  <c r="AI8" i="27" a="1"/>
  <c r="AI8" i="27" s="1"/>
  <c r="AR8" i="27" a="1"/>
  <c r="AR8" i="27" s="1"/>
  <c r="BB8" i="27" a="1"/>
  <c r="BB8" i="27" s="1"/>
  <c r="J9" i="27" a="1"/>
  <c r="J9" i="27" s="1"/>
  <c r="T9" i="27" a="1"/>
  <c r="T9" i="27" s="1"/>
  <c r="AD9" i="27" a="1"/>
  <c r="AD9" i="27" s="1"/>
  <c r="AO9" i="27" a="1"/>
  <c r="AO9" i="27" s="1"/>
  <c r="AY9" i="27" a="1"/>
  <c r="AY9" i="27" s="1"/>
  <c r="BI9" i="27" a="1"/>
  <c r="BI9" i="27" s="1"/>
  <c r="Q10" i="27" a="1"/>
  <c r="Q10" i="27" s="1"/>
  <c r="AA10" i="27" a="1"/>
  <c r="AA10" i="27" s="1"/>
  <c r="AK10" i="27" a="1"/>
  <c r="AK10" i="27" s="1"/>
  <c r="AV10" i="27" a="1"/>
  <c r="AV10" i="27" s="1"/>
  <c r="BG10" i="27" a="1"/>
  <c r="BG10" i="27" s="1"/>
  <c r="BS10" i="27" a="1"/>
  <c r="BS10" i="27" s="1"/>
  <c r="AH11" i="27" a="1"/>
  <c r="AH11" i="27" s="1"/>
  <c r="AW11" i="27" a="1"/>
  <c r="AW11" i="27" s="1"/>
  <c r="BK11" i="27" a="1"/>
  <c r="BK11" i="27" s="1"/>
  <c r="M12" i="27" a="1"/>
  <c r="M12" i="27" s="1"/>
  <c r="AT12" i="27" a="1"/>
  <c r="AT12" i="27" s="1"/>
  <c r="BS12" i="27" a="1"/>
  <c r="BS12" i="27" s="1"/>
  <c r="BD8" i="26" a="1"/>
  <c r="BD8" i="26" s="1"/>
  <c r="BO8" i="26" a="1"/>
  <c r="BO8" i="26" s="1"/>
  <c r="O9" i="26" a="1"/>
  <c r="O9" i="26" s="1"/>
  <c r="AC9" i="26" a="1"/>
  <c r="AC9" i="26" s="1"/>
  <c r="AA7" i="26" a="1"/>
  <c r="AA7" i="26" s="1"/>
  <c r="AR9" i="26" a="1"/>
  <c r="AR9" i="26" s="1"/>
  <c r="AE9" i="26" a="1"/>
  <c r="AE9" i="26" s="1"/>
  <c r="AC7" i="26" a="1"/>
  <c r="AC7" i="26" s="1"/>
  <c r="AS9" i="26" a="1"/>
  <c r="AS9" i="26" s="1"/>
  <c r="AR7" i="26" a="1"/>
  <c r="AR7" i="26" s="1"/>
  <c r="AR10" i="26" a="1"/>
  <c r="AR10" i="26" s="1"/>
  <c r="AT7" i="26" a="1"/>
  <c r="AT7" i="26" s="1"/>
  <c r="BH10" i="26" a="1"/>
  <c r="BH10" i="26" s="1"/>
  <c r="BH7" i="26" a="1"/>
  <c r="BH7" i="26" s="1"/>
  <c r="W11" i="26" a="1"/>
  <c r="W11" i="26" s="1"/>
  <c r="BI7" i="26" a="1"/>
  <c r="BI7" i="26" s="1"/>
  <c r="AU11" i="26" a="1"/>
  <c r="AU11" i="26" s="1"/>
  <c r="J8" i="26" a="1"/>
  <c r="J8" i="26" s="1"/>
  <c r="AW11" i="26" a="1"/>
  <c r="AW11" i="26" s="1"/>
  <c r="K8" i="26" a="1"/>
  <c r="K8" i="26" s="1"/>
  <c r="BK9" i="26" a="1"/>
  <c r="BK9" i="26" s="1"/>
  <c r="L10" i="26" a="1"/>
  <c r="L10" i="26" s="1"/>
  <c r="K7" i="26" a="1"/>
  <c r="K7" i="26" s="1"/>
  <c r="Y8" i="26" a="1"/>
  <c r="Y8" i="26" s="1"/>
  <c r="AL8" i="26" a="1"/>
  <c r="AL8" i="26" s="1"/>
  <c r="AA10" i="26" a="1"/>
  <c r="AA10" i="26" s="1"/>
  <c r="M7" i="26" a="1"/>
  <c r="M7" i="26" s="1"/>
  <c r="AM8" i="26" a="1"/>
  <c r="AM8" i="26" s="1"/>
  <c r="AQ10" i="26" a="1"/>
  <c r="AQ10" i="26" s="1"/>
  <c r="N12" i="26" a="1"/>
  <c r="N12" i="26" s="1"/>
  <c r="X8" i="26" a="1"/>
  <c r="X8" i="26" s="1"/>
  <c r="BL9" i="26" a="1"/>
  <c r="BL9" i="26" s="1"/>
  <c r="R7" i="26" a="1"/>
  <c r="R7" i="26" s="1"/>
  <c r="AH7" i="26" a="1"/>
  <c r="AH7" i="26" s="1"/>
  <c r="AX7" i="26" a="1"/>
  <c r="AX7" i="26" s="1"/>
  <c r="BL7" i="26" a="1"/>
  <c r="BL7" i="26" s="1"/>
  <c r="O8" i="26" a="1"/>
  <c r="O8" i="26" s="1"/>
  <c r="AC8" i="26" a="1"/>
  <c r="AC8" i="26" s="1"/>
  <c r="AP8" i="26" a="1"/>
  <c r="AP8" i="26" s="1"/>
  <c r="BH8" i="26" a="1"/>
  <c r="BH8" i="26" s="1"/>
  <c r="BR8" i="26" a="1"/>
  <c r="BR8" i="26" s="1"/>
  <c r="R9" i="26" a="1"/>
  <c r="R9" i="26" s="1"/>
  <c r="AI9" i="26" a="1"/>
  <c r="AI9" i="26" s="1"/>
  <c r="AW9" i="26" a="1"/>
  <c r="AW9" i="26" s="1"/>
  <c r="BP9" i="26" a="1"/>
  <c r="BP9" i="26" s="1"/>
  <c r="P10" i="26" a="1"/>
  <c r="P10" i="26" s="1"/>
  <c r="AF10" i="26" a="1"/>
  <c r="AF10" i="26" s="1"/>
  <c r="AV10" i="26" a="1"/>
  <c r="AV10" i="26" s="1"/>
  <c r="BM10" i="26" a="1"/>
  <c r="BM10" i="26" s="1"/>
  <c r="M11" i="26" a="1"/>
  <c r="M11" i="26" s="1"/>
  <c r="AC11" i="26" a="1"/>
  <c r="AC11" i="26" s="1"/>
  <c r="BG11" i="26" a="1"/>
  <c r="BG11" i="26" s="1"/>
  <c r="T7" i="26" a="1"/>
  <c r="T7" i="26" s="1"/>
  <c r="AJ7" i="26" a="1"/>
  <c r="AJ7" i="26" s="1"/>
  <c r="BA7" i="26" a="1"/>
  <c r="BA7" i="26" s="1"/>
  <c r="BO7" i="26" a="1"/>
  <c r="BO7" i="26" s="1"/>
  <c r="Q8" i="26" a="1"/>
  <c r="Q8" i="26" s="1"/>
  <c r="AE8" i="26" a="1"/>
  <c r="AE8" i="26" s="1"/>
  <c r="AT8" i="26" a="1"/>
  <c r="AT8" i="26" s="1"/>
  <c r="H9" i="26" a="1"/>
  <c r="H9" i="26" s="1"/>
  <c r="AK9" i="26" a="1"/>
  <c r="AK9" i="26" s="1"/>
  <c r="BA9" i="26" a="1"/>
  <c r="BA9" i="26" s="1"/>
  <c r="BS9" i="26" a="1"/>
  <c r="BS9" i="26" s="1"/>
  <c r="AI10" i="26" a="1"/>
  <c r="AI10" i="26" s="1"/>
  <c r="AY10" i="26" a="1"/>
  <c r="AY10" i="26" s="1"/>
  <c r="BP10" i="26" a="1"/>
  <c r="BP10" i="26" s="1"/>
  <c r="O11" i="26" a="1"/>
  <c r="O11" i="26" s="1"/>
  <c r="AE11" i="26" a="1"/>
  <c r="AE11" i="26" s="1"/>
  <c r="AN12" i="26" a="1"/>
  <c r="AN12" i="26" s="1"/>
  <c r="J11" i="26" a="1"/>
  <c r="J11" i="26" s="1"/>
  <c r="N7" i="26" a="1"/>
  <c r="N7" i="26" s="1"/>
  <c r="BJ7" i="26" a="1"/>
  <c r="BJ7" i="26" s="1"/>
  <c r="BE8" i="26" a="1"/>
  <c r="BE8" i="26" s="1"/>
  <c r="BP7" i="26" a="1"/>
  <c r="BP7" i="26" s="1"/>
  <c r="AU8" i="26" a="1"/>
  <c r="AU8" i="26" s="1"/>
  <c r="BK8" i="26" a="1"/>
  <c r="BK8" i="26" s="1"/>
  <c r="I9" i="26" a="1"/>
  <c r="I9" i="26" s="1"/>
  <c r="V9" i="26" a="1"/>
  <c r="V9" i="26" s="1"/>
  <c r="AL9" i="26" a="1"/>
  <c r="AL9" i="26" s="1"/>
  <c r="BD9" i="26" a="1"/>
  <c r="BD9" i="26" s="1"/>
  <c r="G10" i="26" a="1"/>
  <c r="G10" i="26" s="1"/>
  <c r="S10" i="26" a="1"/>
  <c r="S10" i="26" s="1"/>
  <c r="AJ10" i="26" a="1"/>
  <c r="AJ10" i="26" s="1"/>
  <c r="AZ10" i="26" a="1"/>
  <c r="AZ10" i="26" s="1"/>
  <c r="BR10" i="26" a="1"/>
  <c r="BR10" i="26" s="1"/>
  <c r="P11" i="26" a="1"/>
  <c r="P11" i="26" s="1"/>
  <c r="AG11" i="26" a="1"/>
  <c r="AG11" i="26" s="1"/>
  <c r="BM11" i="26" a="1"/>
  <c r="BM11" i="26" s="1"/>
  <c r="AR12" i="26" a="1"/>
  <c r="AR12" i="26" s="1"/>
  <c r="AK7" i="26" a="1"/>
  <c r="AK7" i="26" s="1"/>
  <c r="AF8" i="26" a="1"/>
  <c r="AF8" i="26" s="1"/>
  <c r="G7" i="26" a="1"/>
  <c r="G7" i="26" s="1"/>
  <c r="V7" i="26" a="1"/>
  <c r="V7" i="26" s="1"/>
  <c r="AL7" i="26" a="1"/>
  <c r="AL7" i="26" s="1"/>
  <c r="BD7" i="26" a="1"/>
  <c r="BD7" i="26" s="1"/>
  <c r="BQ7" i="26" a="1"/>
  <c r="BQ7" i="26" s="1"/>
  <c r="AG8" i="26" a="1"/>
  <c r="AG8" i="26" s="1"/>
  <c r="AW8" i="26" a="1"/>
  <c r="AW8" i="26" s="1"/>
  <c r="J9" i="26" a="1"/>
  <c r="J9" i="26" s="1"/>
  <c r="X9" i="26" a="1"/>
  <c r="X9" i="26" s="1"/>
  <c r="AM9" i="26" a="1"/>
  <c r="AM9" i="26" s="1"/>
  <c r="BF9" i="26" a="1"/>
  <c r="BF9" i="26" s="1"/>
  <c r="H10" i="26" a="1"/>
  <c r="H10" i="26" s="1"/>
  <c r="T10" i="26" a="1"/>
  <c r="T10" i="26" s="1"/>
  <c r="AL10" i="26" a="1"/>
  <c r="AL10" i="26" s="1"/>
  <c r="BA10" i="26" a="1"/>
  <c r="BA10" i="26" s="1"/>
  <c r="BS10" i="26" a="1"/>
  <c r="BS10" i="26" s="1"/>
  <c r="Q11" i="26" a="1"/>
  <c r="Q11" i="26" s="1"/>
  <c r="AI11" i="26" a="1"/>
  <c r="AI11" i="26" s="1"/>
  <c r="BO11" i="26" a="1"/>
  <c r="BO11" i="26" s="1"/>
  <c r="AX12" i="26" a="1"/>
  <c r="AX12" i="26" s="1"/>
  <c r="X11" i="26" a="1"/>
  <c r="X11" i="26" s="1"/>
  <c r="W7" i="26" a="1"/>
  <c r="W7" i="26" s="1"/>
  <c r="BE7" i="26" a="1"/>
  <c r="BE7" i="26" s="1"/>
  <c r="T8" i="26" a="1"/>
  <c r="T8" i="26" s="1"/>
  <c r="BL8" i="26" a="1"/>
  <c r="BL8" i="26" s="1"/>
  <c r="AK11" i="26" a="1"/>
  <c r="AK11" i="26" s="1"/>
  <c r="AZ12" i="26" a="1"/>
  <c r="AZ12" i="26" s="1"/>
  <c r="U7" i="26" a="1"/>
  <c r="U7" i="26" s="1"/>
  <c r="BB7" i="26" a="1"/>
  <c r="BB7" i="26" s="1"/>
  <c r="R8" i="26" a="1"/>
  <c r="R8" i="26" s="1"/>
  <c r="A6" i="26"/>
  <c r="AR6" i="26" s="1" a="1"/>
  <c r="AR6" i="26" s="1"/>
  <c r="H7" i="26" a="1"/>
  <c r="H7" i="26" s="1"/>
  <c r="AM7" i="26" a="1"/>
  <c r="AM7" i="26" s="1"/>
  <c r="BR7" i="26" a="1"/>
  <c r="BR7" i="26" s="1"/>
  <c r="AH8" i="26" a="1"/>
  <c r="AH8" i="26" s="1"/>
  <c r="AY8" i="26" a="1"/>
  <c r="AY8" i="26" s="1"/>
  <c r="K9" i="26" a="1"/>
  <c r="K9" i="26" s="1"/>
  <c r="Y9" i="26" a="1"/>
  <c r="Y9" i="26" s="1"/>
  <c r="AN9" i="26" a="1"/>
  <c r="AN9" i="26" s="1"/>
  <c r="I10" i="26" a="1"/>
  <c r="I10" i="26" s="1"/>
  <c r="AM10" i="26" a="1"/>
  <c r="AM10" i="26" s="1"/>
  <c r="BC10" i="26" a="1"/>
  <c r="BC10" i="26" s="1"/>
  <c r="G11" i="26" a="1"/>
  <c r="G11" i="26" s="1"/>
  <c r="S11" i="26" a="1"/>
  <c r="S11" i="26" s="1"/>
  <c r="BS11" i="26" a="1"/>
  <c r="BS11" i="26" s="1"/>
  <c r="I7" i="26" a="1"/>
  <c r="I7" i="26" s="1"/>
  <c r="X7" i="26" a="1"/>
  <c r="X7" i="26" s="1"/>
  <c r="AN7" i="26" a="1"/>
  <c r="AN7" i="26" s="1"/>
  <c r="BF7" i="26" a="1"/>
  <c r="BF7" i="26" s="1"/>
  <c r="BS7" i="26" a="1"/>
  <c r="BS7" i="26" s="1"/>
  <c r="U8" i="26" a="1"/>
  <c r="U8" i="26" s="1"/>
  <c r="AI8" i="26" a="1"/>
  <c r="AI8" i="26" s="1"/>
  <c r="BA8" i="26" a="1"/>
  <c r="BA8" i="26" s="1"/>
  <c r="BM8" i="26" a="1"/>
  <c r="BM8" i="26" s="1"/>
  <c r="L9" i="26" a="1"/>
  <c r="L9" i="26" s="1"/>
  <c r="AA9" i="26" a="1"/>
  <c r="AA9" i="26" s="1"/>
  <c r="AO9" i="26" a="1"/>
  <c r="AO9" i="26" s="1"/>
  <c r="BH9" i="26" a="1"/>
  <c r="BH9" i="26" s="1"/>
  <c r="V10" i="26" a="1"/>
  <c r="V10" i="26" s="1"/>
  <c r="AO10" i="26" a="1"/>
  <c r="AO10" i="26" s="1"/>
  <c r="BD10" i="26" a="1"/>
  <c r="BD10" i="26" s="1"/>
  <c r="T11" i="26" a="1"/>
  <c r="T11" i="26" s="1"/>
  <c r="AO11" i="26" a="1"/>
  <c r="AO11" i="26" s="1"/>
  <c r="H12" i="26" a="1"/>
  <c r="H12" i="26" s="1"/>
  <c r="BJ12" i="26" a="1"/>
  <c r="BJ12" i="26" s="1"/>
  <c r="J7" i="26" a="1"/>
  <c r="J7" i="26" s="1"/>
  <c r="Z7" i="26" a="1"/>
  <c r="Z7" i="26" s="1"/>
  <c r="AP7" i="26" a="1"/>
  <c r="AP7" i="26" s="1"/>
  <c r="BG7" i="26" a="1"/>
  <c r="BG7" i="26" s="1"/>
  <c r="H8" i="26" a="1"/>
  <c r="H8" i="26" s="1"/>
  <c r="V8" i="26" a="1"/>
  <c r="V8" i="26" s="1"/>
  <c r="AK8" i="26" a="1"/>
  <c r="AK8" i="26" s="1"/>
  <c r="BB8" i="26" a="1"/>
  <c r="BB8" i="26" s="1"/>
  <c r="BN8" i="26" a="1"/>
  <c r="BN8" i="26" s="1"/>
  <c r="M9" i="26" a="1"/>
  <c r="M9" i="26" s="1"/>
  <c r="AB9" i="26" a="1"/>
  <c r="AB9" i="26" s="1"/>
  <c r="AP9" i="26" a="1"/>
  <c r="AP9" i="26" s="1"/>
  <c r="BI9" i="26" a="1"/>
  <c r="BI9" i="26" s="1"/>
  <c r="J10" i="26" a="1"/>
  <c r="J10" i="26" s="1"/>
  <c r="X10" i="26" a="1"/>
  <c r="X10" i="26" s="1"/>
  <c r="AP10" i="26" a="1"/>
  <c r="AP10" i="26" s="1"/>
  <c r="BF10" i="26" a="1"/>
  <c r="BF10" i="26" s="1"/>
  <c r="I11" i="26" a="1"/>
  <c r="I11" i="26" s="1"/>
  <c r="V11" i="26" a="1"/>
  <c r="V11" i="26" s="1"/>
  <c r="AQ11" i="26" a="1"/>
  <c r="AQ11" i="26" s="1"/>
  <c r="L12" i="26" a="1"/>
  <c r="L12" i="26" s="1"/>
  <c r="R12" i="26" a="1"/>
  <c r="R12" i="26" s="1"/>
  <c r="AU7" i="26" a="1"/>
  <c r="AU7" i="26" s="1"/>
  <c r="AA8" i="26" a="1"/>
  <c r="AA8" i="26" s="1"/>
  <c r="Q9" i="26" a="1"/>
  <c r="Q9" i="26" s="1"/>
  <c r="BM9" i="26" a="1"/>
  <c r="BM9" i="26" s="1"/>
  <c r="AS10" i="26" a="1"/>
  <c r="AS10" i="26" s="1"/>
  <c r="L11" i="26" a="1"/>
  <c r="L11" i="26" s="1"/>
  <c r="BA11" i="26" a="1"/>
  <c r="BA11" i="26" s="1"/>
  <c r="T12" i="26" a="1"/>
  <c r="T12" i="26" s="1"/>
  <c r="AB12" i="26" a="1"/>
  <c r="AB12" i="26" s="1"/>
  <c r="AH12" i="26" a="1"/>
  <c r="AH12" i="26" s="1"/>
  <c r="AE7" i="26" a="1"/>
  <c r="AE7" i="26" s="1"/>
  <c r="M8" i="26" a="1"/>
  <c r="M8" i="26" s="1"/>
  <c r="AN8" i="26" a="1"/>
  <c r="AN8" i="26" s="1"/>
  <c r="BP8" i="26" a="1"/>
  <c r="BP8" i="26" s="1"/>
  <c r="AF9" i="26" a="1"/>
  <c r="AF9" i="26" s="1"/>
  <c r="AT9" i="26" a="1"/>
  <c r="AT9" i="26" s="1"/>
  <c r="M10" i="26" a="1"/>
  <c r="M10" i="26" s="1"/>
  <c r="AC10" i="26" a="1"/>
  <c r="AC10" i="26" s="1"/>
  <c r="BK10" i="26" a="1"/>
  <c r="BK10" i="26" s="1"/>
  <c r="P7" i="26" a="1"/>
  <c r="P7" i="26" s="1"/>
  <c r="AG7" i="26" a="1"/>
  <c r="AG7" i="26" s="1"/>
  <c r="AW7" i="26" a="1"/>
  <c r="AW7" i="26" s="1"/>
  <c r="BK7" i="26" a="1"/>
  <c r="BK7" i="26" s="1"/>
  <c r="AB8" i="26" a="1"/>
  <c r="AB8" i="26" s="1"/>
  <c r="AO8" i="26" a="1"/>
  <c r="AO8" i="26" s="1"/>
  <c r="BF8" i="26" a="1"/>
  <c r="BF8" i="26" s="1"/>
  <c r="BQ8" i="26" a="1"/>
  <c r="BQ8" i="26" s="1"/>
  <c r="AH9" i="26" a="1"/>
  <c r="AH9" i="26" s="1"/>
  <c r="AV9" i="26" a="1"/>
  <c r="AV9" i="26" s="1"/>
  <c r="BO9" i="26" a="1"/>
  <c r="BO9" i="26" s="1"/>
  <c r="O10" i="26" a="1"/>
  <c r="O10" i="26" s="1"/>
  <c r="AE10" i="26" a="1"/>
  <c r="AE10" i="26" s="1"/>
  <c r="AT10" i="26" a="1"/>
  <c r="AT10" i="26" s="1"/>
  <c r="AA11" i="26" a="1"/>
  <c r="AA11" i="26" s="1"/>
  <c r="BC11" i="26" a="1"/>
  <c r="BC11" i="26" s="1"/>
  <c r="S7" i="26" a="1"/>
  <c r="S7" i="26" s="1"/>
  <c r="AI7" i="26" a="1"/>
  <c r="AI7" i="26" s="1"/>
  <c r="AY7" i="26" a="1"/>
  <c r="AY7" i="26" s="1"/>
  <c r="BN7" i="26" a="1"/>
  <c r="BN7" i="26" s="1"/>
  <c r="AD8" i="26" a="1"/>
  <c r="AD8" i="26" s="1"/>
  <c r="AR8" i="26" a="1"/>
  <c r="AR8" i="26" s="1"/>
  <c r="BI8" i="26" a="1"/>
  <c r="BI8" i="26" s="1"/>
  <c r="BS8" i="26" a="1"/>
  <c r="BS8" i="26" s="1"/>
  <c r="T9" i="26" a="1"/>
  <c r="T9" i="26" s="1"/>
  <c r="AJ9" i="26" a="1"/>
  <c r="AJ9" i="26" s="1"/>
  <c r="AY9" i="26" a="1"/>
  <c r="AY9" i="26" s="1"/>
  <c r="BR9" i="26" a="1"/>
  <c r="BR9" i="26" s="1"/>
  <c r="Q10" i="26" a="1"/>
  <c r="Q10" i="26" s="1"/>
  <c r="AH10" i="26" a="1"/>
  <c r="AH10" i="26" s="1"/>
  <c r="AW10" i="26" a="1"/>
  <c r="AW10" i="26" s="1"/>
  <c r="BO10" i="26" a="1"/>
  <c r="BO10" i="26" s="1"/>
  <c r="N11" i="26" a="1"/>
  <c r="N11" i="26" s="1"/>
  <c r="AD11" i="26" a="1"/>
  <c r="AD11" i="26" s="1"/>
  <c r="BI11" i="26" a="1"/>
  <c r="BI11" i="26" s="1"/>
  <c r="AL12" i="26" a="1"/>
  <c r="AL12" i="26" s="1"/>
  <c r="Y12" i="26" a="1"/>
  <c r="Y12" i="26" s="1"/>
  <c r="BO12" i="26" a="1"/>
  <c r="BO12" i="26" s="1"/>
  <c r="AB11" i="26" a="1"/>
  <c r="AB11" i="26" s="1"/>
  <c r="AJ11" i="26" a="1"/>
  <c r="AJ11" i="26" s="1"/>
  <c r="AS11" i="26" a="1"/>
  <c r="AS11" i="26" s="1"/>
  <c r="BB11" i="26" a="1"/>
  <c r="BB11" i="26" s="1"/>
  <c r="BK11" i="26" a="1"/>
  <c r="BK11" i="26" s="1"/>
  <c r="G12" i="26" a="1"/>
  <c r="G12" i="26" s="1"/>
  <c r="P12" i="26" a="1"/>
  <c r="P12" i="26" s="1"/>
  <c r="AT12" i="26" a="1"/>
  <c r="AT12" i="26" s="1"/>
  <c r="BD12" i="26" a="1"/>
  <c r="BD12" i="26" s="1"/>
  <c r="Q7" i="26" a="1"/>
  <c r="Q7" i="26" s="1"/>
  <c r="AD7" i="26" a="1"/>
  <c r="AD7" i="26" s="1"/>
  <c r="AQ7" i="26" a="1"/>
  <c r="AQ7" i="26" s="1"/>
  <c r="BM7" i="26" a="1"/>
  <c r="BM7" i="26" s="1"/>
  <c r="G8" i="26" a="1"/>
  <c r="G8" i="26" s="1"/>
  <c r="N8" i="26" a="1"/>
  <c r="N8" i="26" s="1"/>
  <c r="AJ8" i="26" a="1"/>
  <c r="AJ8" i="26" s="1"/>
  <c r="AQ8" i="26" a="1"/>
  <c r="AQ8" i="26" s="1"/>
  <c r="AX8" i="26" a="1"/>
  <c r="AX8" i="26" s="1"/>
  <c r="G9" i="26" a="1"/>
  <c r="G9" i="26" s="1"/>
  <c r="N9" i="26" a="1"/>
  <c r="N9" i="26" s="1"/>
  <c r="U9" i="26" a="1"/>
  <c r="U9" i="26" s="1"/>
  <c r="AQ9" i="26" a="1"/>
  <c r="AQ9" i="26" s="1"/>
  <c r="AX9" i="26" a="1"/>
  <c r="AX9" i="26" s="1"/>
  <c r="BE9" i="26" a="1"/>
  <c r="BE9" i="26" s="1"/>
  <c r="N10" i="26" a="1"/>
  <c r="N10" i="26" s="1"/>
  <c r="U10" i="26" a="1"/>
  <c r="U10" i="26" s="1"/>
  <c r="AB10" i="26" a="1"/>
  <c r="AB10" i="26" s="1"/>
  <c r="AX10" i="26" a="1"/>
  <c r="AX10" i="26" s="1"/>
  <c r="BE10" i="26" a="1"/>
  <c r="BE10" i="26" s="1"/>
  <c r="BL10" i="26" a="1"/>
  <c r="BL10" i="26" s="1"/>
  <c r="U11" i="26" a="1"/>
  <c r="U11" i="26" s="1"/>
  <c r="Z12" i="26" a="1"/>
  <c r="Z12" i="26" s="1"/>
  <c r="AK12" i="26" a="1"/>
  <c r="AK12" i="26" s="1"/>
  <c r="BF12" i="26" a="1"/>
  <c r="BF12" i="26" s="1"/>
  <c r="BQ12" i="26" a="1"/>
  <c r="BQ12" i="26" s="1"/>
  <c r="BK12" i="26" a="1"/>
  <c r="BK12" i="26" s="1"/>
  <c r="BE12" i="26" a="1"/>
  <c r="BE12" i="26" s="1"/>
  <c r="AY12" i="26" a="1"/>
  <c r="AY12" i="26" s="1"/>
  <c r="AS12" i="26" a="1"/>
  <c r="AS12" i="26" s="1"/>
  <c r="AM12" i="26" a="1"/>
  <c r="AM12" i="26" s="1"/>
  <c r="AG12" i="26" a="1"/>
  <c r="AG12" i="26" s="1"/>
  <c r="AA12" i="26" a="1"/>
  <c r="AA12" i="26" s="1"/>
  <c r="U12" i="26" a="1"/>
  <c r="U12" i="26" s="1"/>
  <c r="O12" i="26" a="1"/>
  <c r="O12" i="26" s="1"/>
  <c r="I12" i="26" a="1"/>
  <c r="I12" i="26" s="1"/>
  <c r="BP11" i="26" a="1"/>
  <c r="BP11" i="26" s="1"/>
  <c r="BJ11" i="26" a="1"/>
  <c r="BJ11" i="26" s="1"/>
  <c r="BD11" i="26" a="1"/>
  <c r="BD11" i="26" s="1"/>
  <c r="AX11" i="26" a="1"/>
  <c r="AX11" i="26" s="1"/>
  <c r="AR11" i="26" a="1"/>
  <c r="AR11" i="26" s="1"/>
  <c r="AL11" i="26" a="1"/>
  <c r="AL11" i="26" s="1"/>
  <c r="AF11" i="26" a="1"/>
  <c r="AF11" i="26" s="1"/>
  <c r="Z11" i="26" a="1"/>
  <c r="Z11" i="26" s="1"/>
  <c r="BP12" i="26" a="1"/>
  <c r="BP12" i="26" s="1"/>
  <c r="BN12" i="26" a="1"/>
  <c r="BN12" i="26" s="1"/>
  <c r="BH12" i="26" a="1"/>
  <c r="BH12" i="26" s="1"/>
  <c r="BB12" i="26" a="1"/>
  <c r="BB12" i="26" s="1"/>
  <c r="AV12" i="26" a="1"/>
  <c r="AV12" i="26" s="1"/>
  <c r="AP12" i="26" a="1"/>
  <c r="AP12" i="26" s="1"/>
  <c r="AJ12" i="26" a="1"/>
  <c r="AJ12" i="26" s="1"/>
  <c r="AD12" i="26" a="1"/>
  <c r="AD12" i="26" s="1"/>
  <c r="X12" i="26" a="1"/>
  <c r="X12" i="26" s="1"/>
  <c r="BS12" i="26" a="1"/>
  <c r="BS12" i="26" s="1"/>
  <c r="BM12" i="26" a="1"/>
  <c r="BM12" i="26" s="1"/>
  <c r="BG12" i="26" a="1"/>
  <c r="BG12" i="26" s="1"/>
  <c r="BA12" i="26" a="1"/>
  <c r="BA12" i="26" s="1"/>
  <c r="AU12" i="26" a="1"/>
  <c r="AU12" i="26" s="1"/>
  <c r="AO12" i="26" a="1"/>
  <c r="AO12" i="26" s="1"/>
  <c r="AI12" i="26" a="1"/>
  <c r="AI12" i="26" s="1"/>
  <c r="AC12" i="26" a="1"/>
  <c r="AC12" i="26" s="1"/>
  <c r="W12" i="26" a="1"/>
  <c r="W12" i="26" s="1"/>
  <c r="Q12" i="26" a="1"/>
  <c r="Q12" i="26" s="1"/>
  <c r="K12" i="26" a="1"/>
  <c r="K12" i="26" s="1"/>
  <c r="BR11" i="26" a="1"/>
  <c r="BR11" i="26" s="1"/>
  <c r="BL11" i="26" a="1"/>
  <c r="BL11" i="26" s="1"/>
  <c r="BF11" i="26" a="1"/>
  <c r="BF11" i="26" s="1"/>
  <c r="AZ11" i="26" a="1"/>
  <c r="AZ11" i="26" s="1"/>
  <c r="AT11" i="26" a="1"/>
  <c r="AT11" i="26" s="1"/>
  <c r="AN11" i="26" a="1"/>
  <c r="AN11" i="26" s="1"/>
  <c r="BR12" i="26" a="1"/>
  <c r="BR12" i="26" s="1"/>
  <c r="L7" i="26" a="1"/>
  <c r="L7" i="26" s="1"/>
  <c r="Y7" i="26" a="1"/>
  <c r="Y7" i="26" s="1"/>
  <c r="AF7" i="26" a="1"/>
  <c r="AF7" i="26" s="1"/>
  <c r="AS7" i="26" a="1"/>
  <c r="AS7" i="26" s="1"/>
  <c r="AZ7" i="26" a="1"/>
  <c r="AZ7" i="26" s="1"/>
  <c r="I8" i="26" a="1"/>
  <c r="I8" i="26" s="1"/>
  <c r="P8" i="26" a="1"/>
  <c r="P8" i="26" s="1"/>
  <c r="W8" i="26" a="1"/>
  <c r="W8" i="26" s="1"/>
  <c r="AS8" i="26" a="1"/>
  <c r="AS8" i="26" s="1"/>
  <c r="AZ8" i="26" a="1"/>
  <c r="AZ8" i="26" s="1"/>
  <c r="BG8" i="26" a="1"/>
  <c r="BG8" i="26" s="1"/>
  <c r="P9" i="26" a="1"/>
  <c r="P9" i="26" s="1"/>
  <c r="W9" i="26" a="1"/>
  <c r="W9" i="26" s="1"/>
  <c r="AD9" i="26" a="1"/>
  <c r="AD9" i="26" s="1"/>
  <c r="AZ9" i="26" a="1"/>
  <c r="AZ9" i="26" s="1"/>
  <c r="BG9" i="26" a="1"/>
  <c r="BG9" i="26" s="1"/>
  <c r="BN9" i="26" a="1"/>
  <c r="BN9" i="26" s="1"/>
  <c r="W10" i="26" a="1"/>
  <c r="W10" i="26" s="1"/>
  <c r="AD10" i="26" a="1"/>
  <c r="AD10" i="26" s="1"/>
  <c r="AK10" i="26" a="1"/>
  <c r="AK10" i="26" s="1"/>
  <c r="BG10" i="26" a="1"/>
  <c r="BG10" i="26" s="1"/>
  <c r="BN10" i="26" a="1"/>
  <c r="BN10" i="26" s="1"/>
  <c r="H11" i="26" a="1"/>
  <c r="H11" i="26" s="1"/>
  <c r="AM11" i="26" a="1"/>
  <c r="AM11" i="26" s="1"/>
  <c r="AV11" i="26" a="1"/>
  <c r="AV11" i="26" s="1"/>
  <c r="BE11" i="26" a="1"/>
  <c r="BE11" i="26" s="1"/>
  <c r="BN11" i="26" a="1"/>
  <c r="BN11" i="26" s="1"/>
  <c r="J12" i="26" a="1"/>
  <c r="J12" i="26" s="1"/>
  <c r="S12" i="26" a="1"/>
  <c r="S12" i="26" s="1"/>
  <c r="BI12" i="26" a="1"/>
  <c r="BI12" i="26" s="1"/>
  <c r="AE12" i="26" a="1"/>
  <c r="AE12" i="26" s="1"/>
  <c r="AQ12" i="26" a="1"/>
  <c r="AQ12" i="26" s="1"/>
  <c r="AU9" i="26" a="1"/>
  <c r="AU9" i="26" s="1"/>
  <c r="BB9" i="26" a="1"/>
  <c r="BB9" i="26" s="1"/>
  <c r="K10" i="26" a="1"/>
  <c r="K10" i="26" s="1"/>
  <c r="R10" i="26" a="1"/>
  <c r="R10" i="26" s="1"/>
  <c r="Y10" i="26" a="1"/>
  <c r="Y10" i="26" s="1"/>
  <c r="AU10" i="26" a="1"/>
  <c r="AU10" i="26" s="1"/>
  <c r="BB10" i="26" a="1"/>
  <c r="BB10" i="26" s="1"/>
  <c r="BI10" i="26" a="1"/>
  <c r="BI10" i="26" s="1"/>
  <c r="R11" i="26" a="1"/>
  <c r="R11" i="26" s="1"/>
  <c r="Y11" i="26" a="1"/>
  <c r="Y11" i="26" s="1"/>
  <c r="AP11" i="26" a="1"/>
  <c r="AP11" i="26" s="1"/>
  <c r="AY11" i="26" a="1"/>
  <c r="AY11" i="26" s="1"/>
  <c r="BH11" i="26" a="1"/>
  <c r="BH11" i="26" s="1"/>
  <c r="BQ11" i="26" a="1"/>
  <c r="BQ11" i="26" s="1"/>
  <c r="M12" i="26" a="1"/>
  <c r="M12" i="26" s="1"/>
  <c r="V12" i="26" a="1"/>
  <c r="V12" i="26" s="1"/>
  <c r="AF12" i="26" a="1"/>
  <c r="AF12" i="26" s="1"/>
  <c r="O7" i="26" a="1"/>
  <c r="O7" i="26" s="1"/>
  <c r="AB7" i="26" a="1"/>
  <c r="AB7" i="26" s="1"/>
  <c r="AO7" i="26" a="1"/>
  <c r="AO7" i="26" s="1"/>
  <c r="AV7" i="26" a="1"/>
  <c r="AV7" i="26" s="1"/>
  <c r="BC7" i="26" a="1"/>
  <c r="BC7" i="26" s="1"/>
  <c r="L8" i="26" a="1"/>
  <c r="L8" i="26" s="1"/>
  <c r="S8" i="26" a="1"/>
  <c r="S8" i="26" s="1"/>
  <c r="Z8" i="26" a="1"/>
  <c r="Z8" i="26" s="1"/>
  <c r="AV8" i="26" a="1"/>
  <c r="AV8" i="26" s="1"/>
  <c r="BC8" i="26" a="1"/>
  <c r="BC8" i="26" s="1"/>
  <c r="BJ8" i="26" a="1"/>
  <c r="BJ8" i="26" s="1"/>
  <c r="S9" i="26" a="1"/>
  <c r="S9" i="26" s="1"/>
  <c r="Z9" i="26" a="1"/>
  <c r="Z9" i="26" s="1"/>
  <c r="AG9" i="26" a="1"/>
  <c r="AG9" i="26" s="1"/>
  <c r="BC9" i="26" a="1"/>
  <c r="BC9" i="26" s="1"/>
  <c r="BJ9" i="26" a="1"/>
  <c r="BJ9" i="26" s="1"/>
  <c r="BQ9" i="26" a="1"/>
  <c r="BQ9" i="26" s="1"/>
  <c r="Z10" i="26" a="1"/>
  <c r="Z10" i="26" s="1"/>
  <c r="AG10" i="26" a="1"/>
  <c r="AG10" i="26" s="1"/>
  <c r="AN10" i="26" a="1"/>
  <c r="AN10" i="26" s="1"/>
  <c r="BJ10" i="26" a="1"/>
  <c r="BJ10" i="26" s="1"/>
  <c r="BQ10" i="26" a="1"/>
  <c r="BQ10" i="26" s="1"/>
  <c r="K11" i="26" a="1"/>
  <c r="K11" i="26" s="1"/>
  <c r="AH11" i="26" a="1"/>
  <c r="AH11" i="26" s="1"/>
  <c r="BL12" i="26" a="1"/>
  <c r="BL12" i="26" s="1"/>
  <c r="BC12" i="26" a="1"/>
  <c r="BC12" i="26" s="1"/>
  <c r="A3" i="15"/>
  <c r="A2" i="15"/>
  <c r="BD6" i="26" l="1" a="1"/>
  <c r="BD6" i="26" s="1"/>
  <c r="M6" i="26" a="1"/>
  <c r="M6" i="26" s="1"/>
  <c r="BS6" i="26" a="1"/>
  <c r="BS6" i="26" s="1"/>
  <c r="AU6" i="26" a="1"/>
  <c r="AU6" i="26" s="1"/>
  <c r="AB6" i="26" a="1"/>
  <c r="AB6" i="26" s="1"/>
  <c r="K6" i="26" a="1"/>
  <c r="K6" i="26" s="1"/>
  <c r="BA6" i="26" a="1"/>
  <c r="BA6" i="26" s="1"/>
  <c r="BH6" i="26" a="1"/>
  <c r="BH6" i="26" s="1"/>
  <c r="AI6" i="26" a="1"/>
  <c r="AI6" i="26" s="1"/>
  <c r="I6" i="26" a="1"/>
  <c r="I6" i="26" s="1"/>
  <c r="Y6" i="26" a="1"/>
  <c r="Y6" i="26" s="1"/>
  <c r="BC6" i="26" a="1"/>
  <c r="BC6" i="26" s="1"/>
  <c r="H6" i="26" a="1"/>
  <c r="H6" i="26" s="1"/>
  <c r="BJ6" i="26" a="1"/>
  <c r="BJ6" i="26" s="1"/>
  <c r="AF6" i="26" a="1"/>
  <c r="AF6" i="26" s="1"/>
  <c r="Z6" i="26" a="1"/>
  <c r="Z6" i="26" s="1"/>
  <c r="AN6" i="26" a="1"/>
  <c r="AN6" i="26" s="1"/>
  <c r="BO6" i="26" a="1"/>
  <c r="BO6" i="26" s="1"/>
  <c r="N6" i="26" a="1"/>
  <c r="N6" i="26" s="1"/>
  <c r="AM6" i="26" a="1"/>
  <c r="AM6" i="26" s="1"/>
  <c r="J6" i="26" a="1"/>
  <c r="J6" i="26" s="1"/>
  <c r="AD6" i="26" a="1"/>
  <c r="AD6" i="26" s="1"/>
  <c r="U6" i="26" a="1"/>
  <c r="U6" i="26" s="1"/>
  <c r="AS6" i="26" a="1"/>
  <c r="AS6" i="26" s="1"/>
  <c r="AL6" i="26" a="1"/>
  <c r="AL6" i="26" s="1"/>
  <c r="AH6" i="26" a="1"/>
  <c r="AH6" i="26" s="1"/>
  <c r="S6" i="26" a="1"/>
  <c r="S6" i="26" s="1"/>
  <c r="AJ6" i="26" a="1"/>
  <c r="AJ6" i="26" s="1"/>
  <c r="BI6" i="26" a="1"/>
  <c r="BI6" i="26" s="1"/>
  <c r="L6" i="26" a="1"/>
  <c r="L6" i="26" s="1"/>
  <c r="W6" i="26" a="1"/>
  <c r="W6" i="26" s="1"/>
  <c r="V6" i="26" a="1"/>
  <c r="V6" i="26" s="1"/>
  <c r="AC6" i="26" a="1"/>
  <c r="AC6" i="26" s="1"/>
  <c r="AQ6" i="26" a="1"/>
  <c r="AQ6" i="26" s="1"/>
  <c r="AZ6" i="26" a="1"/>
  <c r="AZ6" i="26" s="1"/>
  <c r="AK6" i="26" a="1"/>
  <c r="AK6" i="26" s="1"/>
  <c r="BF6" i="26" a="1"/>
  <c r="BF6" i="26" s="1"/>
  <c r="AY6" i="26" a="1"/>
  <c r="AY6" i="26" s="1"/>
  <c r="Q6" i="26" a="1"/>
  <c r="Q6" i="26" s="1"/>
  <c r="BK6" i="26" a="1"/>
  <c r="BK6" i="26" s="1"/>
  <c r="AW6" i="26" a="1"/>
  <c r="AW6" i="26" s="1"/>
  <c r="BL6" i="26" a="1"/>
  <c r="BL6" i="26" s="1"/>
  <c r="BM6" i="26" a="1"/>
  <c r="BM6" i="26" s="1"/>
  <c r="BB6" i="26" a="1"/>
  <c r="BB6" i="26" s="1"/>
  <c r="AA6" i="26" a="1"/>
  <c r="AA6" i="26" s="1"/>
  <c r="BQ6" i="26" a="1"/>
  <c r="BQ6" i="26" s="1"/>
  <c r="AV6" i="26" a="1"/>
  <c r="AV6" i="26" s="1"/>
  <c r="AT6" i="26" a="1"/>
  <c r="AT6" i="26" s="1"/>
  <c r="BR6" i="26" a="1"/>
  <c r="BR6" i="26" s="1"/>
  <c r="BN6" i="26" a="1"/>
  <c r="BN6" i="26" s="1"/>
  <c r="R6" i="26" a="1"/>
  <c r="R6" i="26" s="1"/>
  <c r="AE6" i="26" a="1"/>
  <c r="AE6" i="26" s="1"/>
  <c r="T6" i="26" a="1"/>
  <c r="T6" i="26" s="1"/>
  <c r="AL6" i="28" a="1"/>
  <c r="AL6" i="28" s="1"/>
  <c r="AD6" i="28" a="1"/>
  <c r="AD6" i="28" s="1"/>
  <c r="V6" i="28" a="1"/>
  <c r="V6" i="28" s="1"/>
  <c r="N6" i="28" a="1"/>
  <c r="N6" i="28" s="1"/>
  <c r="BL6" i="28" a="1"/>
  <c r="BL6" i="28" s="1"/>
  <c r="AT6" i="28" a="1"/>
  <c r="AT6" i="28" s="1"/>
  <c r="BK6" i="28" a="1"/>
  <c r="BK6" i="28" s="1"/>
  <c r="M6" i="28" a="1"/>
  <c r="M6" i="28" s="1"/>
  <c r="BB6" i="28" a="1"/>
  <c r="BB6" i="28" s="1"/>
  <c r="BS6" i="28" a="1"/>
  <c r="BS6" i="28" s="1"/>
  <c r="BJ6" i="28" a="1"/>
  <c r="BJ6" i="28" s="1"/>
  <c r="BA6" i="28" a="1"/>
  <c r="BA6" i="28" s="1"/>
  <c r="AR6" i="28" a="1"/>
  <c r="AR6" i="28" s="1"/>
  <c r="AJ6" i="28" a="1"/>
  <c r="AJ6" i="28" s="1"/>
  <c r="AB6" i="28" a="1"/>
  <c r="AB6" i="28" s="1"/>
  <c r="T6" i="28" a="1"/>
  <c r="T6" i="28" s="1"/>
  <c r="L6" i="28" a="1"/>
  <c r="L6" i="28" s="1"/>
  <c r="AI6" i="28" a="1"/>
  <c r="AI6" i="28" s="1"/>
  <c r="AA6" i="28" a="1"/>
  <c r="AA6" i="28" s="1"/>
  <c r="K6" i="28" a="1"/>
  <c r="K6" i="28" s="1"/>
  <c r="BR6" i="28" a="1"/>
  <c r="BR6" i="28" s="1"/>
  <c r="AQ6" i="28" a="1"/>
  <c r="AQ6" i="28" s="1"/>
  <c r="AF6" i="28" a="1"/>
  <c r="AF6" i="28" s="1"/>
  <c r="BI6" i="28" a="1"/>
  <c r="BI6" i="28" s="1"/>
  <c r="AZ6" i="28" a="1"/>
  <c r="AZ6" i="28" s="1"/>
  <c r="S6" i="28" a="1"/>
  <c r="S6" i="28" s="1"/>
  <c r="AN6" i="28" a="1"/>
  <c r="AN6" i="28" s="1"/>
  <c r="BQ6" i="28" a="1"/>
  <c r="BQ6" i="28" s="1"/>
  <c r="BH6" i="28" a="1"/>
  <c r="BH6" i="28" s="1"/>
  <c r="AY6" i="28" a="1"/>
  <c r="AY6" i="28" s="1"/>
  <c r="AP6" i="28" a="1"/>
  <c r="AP6" i="28" s="1"/>
  <c r="AH6" i="28" a="1"/>
  <c r="AH6" i="28" s="1"/>
  <c r="Z6" i="28" a="1"/>
  <c r="Z6" i="28" s="1"/>
  <c r="R6" i="28" a="1"/>
  <c r="R6" i="28" s="1"/>
  <c r="J6" i="28" a="1"/>
  <c r="J6" i="28" s="1"/>
  <c r="AX6" i="28" a="1"/>
  <c r="AX6" i="28" s="1"/>
  <c r="AO6" i="28" a="1"/>
  <c r="AO6" i="28" s="1"/>
  <c r="Q6" i="28" a="1"/>
  <c r="Q6" i="28" s="1"/>
  <c r="I6" i="28" a="1"/>
  <c r="I6" i="28" s="1"/>
  <c r="BF6" i="28" a="1"/>
  <c r="BF6" i="28" s="1"/>
  <c r="AW6" i="28" a="1"/>
  <c r="AW6" i="28" s="1"/>
  <c r="H6" i="28" a="1"/>
  <c r="H6" i="28" s="1"/>
  <c r="BP6" i="28" a="1"/>
  <c r="BP6" i="28" s="1"/>
  <c r="BG6" i="28" a="1"/>
  <c r="BG6" i="28" s="1"/>
  <c r="AG6" i="28" a="1"/>
  <c r="AG6" i="28" s="1"/>
  <c r="BO6" i="28" a="1"/>
  <c r="BO6" i="28" s="1"/>
  <c r="P6" i="28" a="1"/>
  <c r="P6" i="28" s="1"/>
  <c r="Y6" i="28" a="1"/>
  <c r="Y6" i="28" s="1"/>
  <c r="X6" i="28" a="1"/>
  <c r="X6" i="28" s="1"/>
  <c r="BN6" i="28" a="1"/>
  <c r="BN6" i="28" s="1"/>
  <c r="BE6" i="28" a="1"/>
  <c r="BE6" i="28" s="1"/>
  <c r="AV6" i="28" a="1"/>
  <c r="AV6" i="28" s="1"/>
  <c r="AM6" i="28" a="1"/>
  <c r="AM6" i="28" s="1"/>
  <c r="W6" i="28" a="1"/>
  <c r="W6" i="28" s="1"/>
  <c r="O6" i="28" a="1"/>
  <c r="O6" i="28" s="1"/>
  <c r="BD6" i="28" a="1"/>
  <c r="BD6" i="28" s="1"/>
  <c r="AE6" i="28" a="1"/>
  <c r="AE6" i="28" s="1"/>
  <c r="BC6" i="28" a="1"/>
  <c r="BC6" i="28" s="1"/>
  <c r="U6" i="28" a="1"/>
  <c r="U6" i="28" s="1"/>
  <c r="AS6" i="28" a="1"/>
  <c r="AS6" i="28" s="1"/>
  <c r="AK6" i="28" a="1"/>
  <c r="AK6" i="28" s="1"/>
  <c r="BM6" i="28" a="1"/>
  <c r="BM6" i="28" s="1"/>
  <c r="AU6" i="28" a="1"/>
  <c r="AU6" i="28" s="1"/>
  <c r="G6" i="28" a="1"/>
  <c r="G6" i="28" s="1"/>
  <c r="AC6" i="28" a="1"/>
  <c r="AC6" i="28" s="1"/>
  <c r="BN6" i="27" a="1"/>
  <c r="BN6" i="27" s="1"/>
  <c r="BE6" i="27" a="1"/>
  <c r="BE6" i="27" s="1"/>
  <c r="AV6" i="27" a="1"/>
  <c r="AV6" i="27" s="1"/>
  <c r="AM6" i="27" a="1"/>
  <c r="AM6" i="27" s="1"/>
  <c r="AD6" i="27" a="1"/>
  <c r="AD6" i="27" s="1"/>
  <c r="K6" i="27" a="1"/>
  <c r="K6" i="27" s="1"/>
  <c r="J6" i="27" a="1"/>
  <c r="J6" i="27" s="1"/>
  <c r="BD6" i="27" a="1"/>
  <c r="BD6" i="27" s="1"/>
  <c r="AL6" i="27" a="1"/>
  <c r="AL6" i="27" s="1"/>
  <c r="AK6" i="27" a="1"/>
  <c r="AK6" i="27" s="1"/>
  <c r="BL6" i="27" a="1"/>
  <c r="BL6" i="27" s="1"/>
  <c r="BK6" i="27" a="1"/>
  <c r="BK6" i="27" s="1"/>
  <c r="BB6" i="27" a="1"/>
  <c r="BB6" i="27" s="1"/>
  <c r="AS6" i="27" a="1"/>
  <c r="AS6" i="27" s="1"/>
  <c r="AJ6" i="27" a="1"/>
  <c r="AJ6" i="27" s="1"/>
  <c r="AA6" i="27" a="1"/>
  <c r="AA6" i="27" s="1"/>
  <c r="R6" i="27" a="1"/>
  <c r="R6" i="27" s="1"/>
  <c r="I6" i="27" a="1"/>
  <c r="I6" i="27" s="1"/>
  <c r="AW6" i="27" a="1"/>
  <c r="AW6" i="27" s="1"/>
  <c r="L6" i="27" a="1"/>
  <c r="L6" i="27" s="1"/>
  <c r="AC6" i="27" a="1"/>
  <c r="AC6" i="27" s="1"/>
  <c r="BS6" i="27" a="1"/>
  <c r="BS6" i="27" s="1"/>
  <c r="BA6" i="27" a="1"/>
  <c r="BA6" i="27" s="1"/>
  <c r="AI6" i="27" a="1"/>
  <c r="AI6" i="27" s="1"/>
  <c r="Q6" i="27" a="1"/>
  <c r="Q6" i="27" s="1"/>
  <c r="BJ6" i="27" a="1"/>
  <c r="BJ6" i="27" s="1"/>
  <c r="AR6" i="27" a="1"/>
  <c r="AR6" i="27" s="1"/>
  <c r="H6" i="27" a="1"/>
  <c r="H6" i="27" s="1"/>
  <c r="BR6" i="27" a="1"/>
  <c r="BR6" i="27" s="1"/>
  <c r="AZ6" i="27" a="1"/>
  <c r="AZ6" i="27" s="1"/>
  <c r="AH6" i="27" a="1"/>
  <c r="AH6" i="27" s="1"/>
  <c r="P6" i="27" a="1"/>
  <c r="P6" i="27" s="1"/>
  <c r="BH6" i="27" a="1"/>
  <c r="BH6" i="27" s="1"/>
  <c r="AP6" i="27" a="1"/>
  <c r="AP6" i="27" s="1"/>
  <c r="Z6" i="27" a="1"/>
  <c r="Z6" i="27" s="1"/>
  <c r="BI6" i="27" a="1"/>
  <c r="BI6" i="27" s="1"/>
  <c r="Y6" i="27" a="1"/>
  <c r="Y6" i="27" s="1"/>
  <c r="G6" i="27" a="1"/>
  <c r="G6" i="27" s="1"/>
  <c r="BQ6" i="27" a="1"/>
  <c r="BQ6" i="27" s="1"/>
  <c r="AY6" i="27" a="1"/>
  <c r="AY6" i="27" s="1"/>
  <c r="X6" i="27" a="1"/>
  <c r="X6" i="27" s="1"/>
  <c r="BG6" i="27" a="1"/>
  <c r="BG6" i="27" s="1"/>
  <c r="AO6" i="27" a="1"/>
  <c r="AO6" i="27" s="1"/>
  <c r="BO6" i="27" a="1"/>
  <c r="BO6" i="27" s="1"/>
  <c r="AN6" i="27" a="1"/>
  <c r="AN6" i="27" s="1"/>
  <c r="AE6" i="27" a="1"/>
  <c r="AE6" i="27" s="1"/>
  <c r="U6" i="27" a="1"/>
  <c r="U6" i="27" s="1"/>
  <c r="AU6" i="27" a="1"/>
  <c r="AU6" i="27" s="1"/>
  <c r="BC6" i="27" a="1"/>
  <c r="BC6" i="27" s="1"/>
  <c r="S6" i="27" a="1"/>
  <c r="S6" i="27" s="1"/>
  <c r="AQ6" i="27" a="1"/>
  <c r="AQ6" i="27" s="1"/>
  <c r="AG6" i="27" a="1"/>
  <c r="AG6" i="27" s="1"/>
  <c r="W6" i="27" a="1"/>
  <c r="W6" i="27" s="1"/>
  <c r="BF6" i="27" a="1"/>
  <c r="BF6" i="27" s="1"/>
  <c r="M6" i="27" a="1"/>
  <c r="M6" i="27" s="1"/>
  <c r="BM6" i="27" a="1"/>
  <c r="BM6" i="27" s="1"/>
  <c r="AB6" i="27" a="1"/>
  <c r="AB6" i="27" s="1"/>
  <c r="O6" i="27" a="1"/>
  <c r="O6" i="27" s="1"/>
  <c r="BP6" i="27" a="1"/>
  <c r="BP6" i="27" s="1"/>
  <c r="AX6" i="27" a="1"/>
  <c r="AX6" i="27" s="1"/>
  <c r="AF6" i="27" a="1"/>
  <c r="AF6" i="27" s="1"/>
  <c r="N6" i="27" a="1"/>
  <c r="N6" i="27" s="1"/>
  <c r="V6" i="27" a="1"/>
  <c r="V6" i="27" s="1"/>
  <c r="T6" i="27" a="1"/>
  <c r="T6" i="27" s="1"/>
  <c r="AT6" i="27" a="1"/>
  <c r="AT6" i="27" s="1"/>
  <c r="BE6" i="26" a="1"/>
  <c r="BE6" i="26" s="1"/>
  <c r="AX6" i="26" a="1"/>
  <c r="AX6" i="26" s="1"/>
  <c r="AO6" i="26" a="1"/>
  <c r="AO6" i="26" s="1"/>
  <c r="P6" i="26" a="1"/>
  <c r="P6" i="26" s="1"/>
  <c r="O6" i="26" a="1"/>
  <c r="O6" i="26" s="1"/>
  <c r="G6" i="26" a="1"/>
  <c r="G6" i="26" s="1"/>
  <c r="AG6" i="26" a="1"/>
  <c r="AG6" i="26" s="1"/>
  <c r="BP6" i="26" a="1"/>
  <c r="BP6" i="26" s="1"/>
  <c r="BG6" i="26" a="1"/>
  <c r="BG6" i="26" s="1"/>
  <c r="AP6" i="26" a="1"/>
  <c r="AP6" i="26" s="1"/>
  <c r="X6" i="26" a="1"/>
  <c r="X6" i="26" s="1"/>
  <c r="A7" i="12"/>
  <c r="A6" i="12"/>
  <c r="A5" i="12"/>
  <c r="A6" i="14" l="1"/>
  <c r="A7" i="14"/>
  <c r="A8" i="14"/>
  <c r="A9" i="14"/>
  <c r="A10" i="14"/>
  <c r="A5" i="14"/>
  <c r="A4" i="14"/>
  <c r="A3" i="14"/>
  <c r="A2" i="14"/>
  <c r="A5" i="13"/>
  <c r="A4" i="13"/>
  <c r="A3" i="13"/>
  <c r="A2" i="13"/>
  <c r="A4" i="12"/>
  <c r="A3" i="12"/>
  <c r="A2" i="12"/>
  <c r="A7" i="11"/>
  <c r="A6" i="11"/>
  <c r="A5" i="11"/>
  <c r="A4" i="11"/>
  <c r="A3" i="11"/>
  <c r="A2" i="11"/>
  <c r="A5" i="7"/>
  <c r="A6" i="7"/>
  <c r="A4" i="7"/>
  <c r="A3" i="7"/>
  <c r="A2" i="7"/>
  <c r="A35" i="8"/>
  <c r="A40" i="8"/>
  <c r="A41" i="8"/>
  <c r="A42" i="8"/>
  <c r="A43" i="8"/>
  <c r="A44" i="8"/>
  <c r="A45" i="8"/>
  <c r="A46" i="8"/>
  <c r="A25" i="8"/>
  <c r="A26" i="8"/>
  <c r="A27" i="8"/>
  <c r="A28" i="8"/>
  <c r="A29" i="8"/>
  <c r="A30" i="8"/>
  <c r="A31" i="8"/>
  <c r="A32" i="8"/>
  <c r="A33" i="8"/>
  <c r="A34" i="8"/>
  <c r="A36" i="8"/>
  <c r="A37" i="8"/>
  <c r="A38" i="8"/>
  <c r="A39" i="8"/>
  <c r="A13" i="8"/>
  <c r="A14" i="8"/>
  <c r="A15" i="8"/>
  <c r="A16" i="8"/>
  <c r="A17" i="8"/>
  <c r="A18" i="8"/>
  <c r="A19" i="8"/>
  <c r="A20" i="8"/>
  <c r="A21" i="8"/>
  <c r="A22" i="8"/>
  <c r="A23" i="8"/>
  <c r="A24" i="8"/>
  <c r="A3" i="8"/>
  <c r="A4" i="8"/>
  <c r="A5" i="8"/>
  <c r="A6" i="8"/>
  <c r="A7" i="8"/>
  <c r="A8" i="8"/>
  <c r="A9" i="8"/>
  <c r="A10" i="8"/>
  <c r="A11" i="8"/>
  <c r="A12" i="8"/>
  <c r="A2" i="8"/>
  <c r="A3" i="9" l="1"/>
  <c r="A4" i="9"/>
  <c r="A5" i="9"/>
  <c r="A6" i="9"/>
  <c r="A7" i="9"/>
  <c r="A8" i="9"/>
  <c r="A9" i="9"/>
  <c r="A10" i="9"/>
  <c r="A11" i="9"/>
  <c r="A2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sharedStrings.xml><?xml version="1.0" encoding="utf-8"?>
<sst xmlns="http://schemas.openxmlformats.org/spreadsheetml/2006/main" count="3236" uniqueCount="341">
  <si>
    <t>Iniciação</t>
  </si>
  <si>
    <t>Planejamento</t>
  </si>
  <si>
    <t>Implantação</t>
  </si>
  <si>
    <t>Testes e QA</t>
  </si>
  <si>
    <t>Homologação</t>
  </si>
  <si>
    <t>Encerramento</t>
  </si>
  <si>
    <t>Especificação</t>
  </si>
  <si>
    <t>Desenvolvimento e/ou Configurações</t>
  </si>
  <si>
    <t>Média</t>
  </si>
  <si>
    <t>Baixa</t>
  </si>
  <si>
    <t>Alta</t>
  </si>
  <si>
    <t>Operação Assistida</t>
  </si>
  <si>
    <t>QA</t>
  </si>
  <si>
    <t>DE</t>
  </si>
  <si>
    <t>PL</t>
  </si>
  <si>
    <t>ES</t>
  </si>
  <si>
    <t>IN</t>
  </si>
  <si>
    <t>HO</t>
  </si>
  <si>
    <t>IM</t>
  </si>
  <si>
    <t>Novo Sistema</t>
  </si>
  <si>
    <t>Controle</t>
  </si>
  <si>
    <t>Muito Alta</t>
  </si>
  <si>
    <t>nome_projeto</t>
  </si>
  <si>
    <t>nome_squad</t>
  </si>
  <si>
    <t>dominio_negocio</t>
  </si>
  <si>
    <t>Logísitca Brasil</t>
  </si>
  <si>
    <t>Logística LATAM</t>
  </si>
  <si>
    <t>WMS</t>
  </si>
  <si>
    <t>Indústria</t>
  </si>
  <si>
    <t>Mercardo Interno</t>
  </si>
  <si>
    <t>Mercado Externo</t>
  </si>
  <si>
    <t>CRM</t>
  </si>
  <si>
    <t>Resultados</t>
  </si>
  <si>
    <t>Business Analytics</t>
  </si>
  <si>
    <t>Originação</t>
  </si>
  <si>
    <t>Echo BR</t>
  </si>
  <si>
    <t>Echo Latam</t>
  </si>
  <si>
    <t>Lima</t>
  </si>
  <si>
    <t>Foxtrot</t>
  </si>
  <si>
    <t>Mike</t>
  </si>
  <si>
    <t>Delta MI</t>
  </si>
  <si>
    <t>Delta ME</t>
  </si>
  <si>
    <t>Golf</t>
  </si>
  <si>
    <t>Alpha</t>
  </si>
  <si>
    <t>Bravo</t>
  </si>
  <si>
    <t>nome_recurso</t>
  </si>
  <si>
    <t>id_squad</t>
  </si>
  <si>
    <t>id_recurso</t>
  </si>
  <si>
    <t>cargo_recurso</t>
  </si>
  <si>
    <t>contrato_recurso</t>
  </si>
  <si>
    <t>Analista de Negócios</t>
  </si>
  <si>
    <t>Desenvolvedor</t>
  </si>
  <si>
    <t>CLT</t>
  </si>
  <si>
    <t>PJ</t>
  </si>
  <si>
    <t>Bruna Castilho Campanha Ziroldo</t>
  </si>
  <si>
    <t>Cayque Duarte Gonçalves</t>
  </si>
  <si>
    <t>Daniel Mistieri Bones</t>
  </si>
  <si>
    <t>Fernando Nappe</t>
  </si>
  <si>
    <t>Bruna de Souza Cabral</t>
  </si>
  <si>
    <t>Juliana Cristina da Silva Borgo</t>
  </si>
  <si>
    <t>Vinicius Matos Borges</t>
  </si>
  <si>
    <t>Welson Coelho Junior</t>
  </si>
  <si>
    <t>Daniel Fernandes Rodrigues</t>
  </si>
  <si>
    <t>Diego Vinicius Alves dos Reis</t>
  </si>
  <si>
    <t>Fabio Luis Uberti</t>
  </si>
  <si>
    <t>Felipe Eduardo Lino dos Santos</t>
  </si>
  <si>
    <t>Leandro Guilen</t>
  </si>
  <si>
    <t>Luiz Sfolia</t>
  </si>
  <si>
    <t>Rafael Leandro Cardoso</t>
  </si>
  <si>
    <t>Davi Gonçalves Morais</t>
  </si>
  <si>
    <t>Guilherme Swerts de Oliveira Lacerda Cavalcante</t>
  </si>
  <si>
    <t>Leonardo Gomes Coutinho</t>
  </si>
  <si>
    <t>Lucas Trindade</t>
  </si>
  <si>
    <t>Vinicius Luiz Lopes</t>
  </si>
  <si>
    <t>Silvio Braconi</t>
  </si>
  <si>
    <t>Elias Aparecido Antonio</t>
  </si>
  <si>
    <t>Everton Lima</t>
  </si>
  <si>
    <t>Gabriel Uiliam Fagundes</t>
  </si>
  <si>
    <t>Mateus Antonio Marchi Rodrigues dos Santos</t>
  </si>
  <si>
    <t>Michel Ferreira Barborsa Galori</t>
  </si>
  <si>
    <t>Paulo Rogério Gonçalves</t>
  </si>
  <si>
    <t>Bruno Donizeti Casula</t>
  </si>
  <si>
    <t>Evandro Luiz Miguel</t>
  </si>
  <si>
    <t>Guilherme Ducker</t>
  </si>
  <si>
    <t>João Leandro Grassi Umberto</t>
  </si>
  <si>
    <t>Julia Araújo Reis</t>
  </si>
  <si>
    <t>Renato Tribiolli Marques</t>
  </si>
  <si>
    <t>Rodolfo Moreira do Nascimento</t>
  </si>
  <si>
    <t>Tiago Latorre</t>
  </si>
  <si>
    <t>Vander Isao Kanda</t>
  </si>
  <si>
    <t>Daniel Henrique de Oliveira Lacerda</t>
  </si>
  <si>
    <t>Elis Priscila Capucho Souza</t>
  </si>
  <si>
    <t>Igor Menezes Rodrigues</t>
  </si>
  <si>
    <t>Jaqueline Aparecida Manzano dos Santos</t>
  </si>
  <si>
    <t>Lucas Bezerra Collard</t>
  </si>
  <si>
    <t>Thales Eduardo Barros de Oliveira</t>
  </si>
  <si>
    <t>Felipe Ferreira Ruas</t>
  </si>
  <si>
    <t>Gustavo Kenzo Masuda</t>
  </si>
  <si>
    <t>Walter Mecenas Moreira Da Silva</t>
  </si>
  <si>
    <t>id_projeto</t>
  </si>
  <si>
    <t>complexidade</t>
  </si>
  <si>
    <t>tag</t>
  </si>
  <si>
    <t>Ocorrências Postergadas</t>
  </si>
  <si>
    <t>Sistematização do Frete Avulso (Frete 2)</t>
  </si>
  <si>
    <t>Ravex - Roteirização de Gado</t>
  </si>
  <si>
    <t>Tabela de Fretes - Faixa km/kg</t>
  </si>
  <si>
    <t>id_tag</t>
  </si>
  <si>
    <t>Estratégico</t>
  </si>
  <si>
    <t>Mandatório / C-Level</t>
  </si>
  <si>
    <t>Melhoria de Processo</t>
  </si>
  <si>
    <t>Evolução do Produto</t>
  </si>
  <si>
    <t>id_classificacao</t>
  </si>
  <si>
    <t>classificacao</t>
  </si>
  <si>
    <t>Implantação Sistema Próprio</t>
  </si>
  <si>
    <t>Implantação Sistema Terceiro</t>
  </si>
  <si>
    <t>id_complexidade</t>
  </si>
  <si>
    <t>id_etapa</t>
  </si>
  <si>
    <t>nome_etapa</t>
  </si>
  <si>
    <t>sigla_etapa</t>
  </si>
  <si>
    <t>Nome Projeto</t>
  </si>
  <si>
    <t>Manutenção Corretiva</t>
  </si>
  <si>
    <t>Evolução, Melhoria ou Adequação</t>
  </si>
  <si>
    <t>Integração de Sistema</t>
  </si>
  <si>
    <t>ganho_projetado</t>
  </si>
  <si>
    <t>prioridade</t>
  </si>
  <si>
    <t>id_regra</t>
  </si>
  <si>
    <t>regra</t>
  </si>
  <si>
    <t>foto_recurso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</si>
  <si>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</si>
  <si>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</si>
  <si>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</si>
  <si>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</si>
  <si>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</si>
  <si>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</si>
  <si>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</si>
  <si>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</si>
  <si>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</si>
  <si>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</si>
  <si>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</si>
  <si>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</si>
  <si>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r>
      <t xml:space="preserve">O Desenvolvedor está limitado a uma alocação máxima de </t>
    </r>
    <r>
      <rPr>
        <b/>
        <sz val="11"/>
        <color theme="1"/>
        <rFont val="Aptos Narrow"/>
        <family val="2"/>
        <scheme val="minor"/>
      </rPr>
      <t xml:space="preserve">2 (dois) projetos simultâneos. </t>
    </r>
    <r>
      <rPr>
        <sz val="11"/>
        <color theme="1"/>
        <rFont val="Aptos Narrow"/>
        <family val="2"/>
        <scheme val="minor"/>
      </rPr>
      <t xml:space="preserve">Ao ser alocado em dois projetos, o Desenvolvedor deve </t>
    </r>
    <r>
      <rPr>
        <b/>
        <sz val="11"/>
        <color theme="1"/>
        <rFont val="Aptos Narrow"/>
        <family val="2"/>
        <scheme val="minor"/>
      </rPr>
      <t>ter exatamente 1 (um) deles na fase de Desenvolvimento</t>
    </r>
    <r>
      <rPr>
        <sz val="11"/>
        <color theme="1"/>
        <rFont val="Aptos Narrow"/>
        <family val="2"/>
        <scheme val="minor"/>
      </rPr>
      <t>. Esta restrição garante que o profissional esteja dedicado a uma única atividade de codificação intensiva por vez, impedindo que múltiplos projetos em fase de construção o sobrecarreguem.</t>
    </r>
  </si>
  <si>
    <r>
      <t xml:space="preserve">O Analista de Negócios está limitado a uma alocação máxima de </t>
    </r>
    <r>
      <rPr>
        <b/>
        <sz val="11"/>
        <color theme="1"/>
        <rFont val="Aptos Narrow"/>
        <family val="2"/>
        <scheme val="minor"/>
      </rPr>
      <t>2 (dois) projetos simultâneos.</t>
    </r>
    <r>
      <rPr>
        <sz val="11"/>
        <color theme="1"/>
        <rFont val="Aptos Narrow"/>
        <family val="2"/>
        <scheme val="minor"/>
      </rPr>
      <t xml:space="preserve"> Destes projetos, </t>
    </r>
    <r>
      <rPr>
        <b/>
        <sz val="11"/>
        <color theme="1"/>
        <rFont val="Aptos Narrow"/>
        <family val="2"/>
        <scheme val="minor"/>
      </rPr>
      <t>pelo menos 1 (um) deve estar obrigatoriamente na fase de Especificação.</t>
    </r>
    <r>
      <rPr>
        <sz val="11"/>
        <color theme="1"/>
        <rFont val="Aptos Narrow"/>
        <family val="2"/>
        <scheme val="minor"/>
      </rPr>
      <t xml:space="preserve"> Esta condição visa garantir que o Analista mantenha o foco ativo na etapa crítica de detalhamento de requisitos de, no mínimo, uma iniciativa.</t>
    </r>
  </si>
  <si>
    <t>4º Trimestre/2025</t>
  </si>
  <si>
    <t>1º Trimestre/2026</t>
  </si>
  <si>
    <t>2º Trimestre/2026</t>
  </si>
  <si>
    <t>3º Trimestre/2026</t>
  </si>
  <si>
    <t>4º Trimestre/2026</t>
  </si>
  <si>
    <t>num_sem_iniciacao</t>
  </si>
  <si>
    <t>num_sem_especificacao</t>
  </si>
  <si>
    <t>num_sem_planejamento</t>
  </si>
  <si>
    <t>num_sem_desenvolvimento</t>
  </si>
  <si>
    <t>num_sem_qa</t>
  </si>
  <si>
    <t>num_sem_homologacao</t>
  </si>
  <si>
    <t>num_sem_implantacao</t>
  </si>
  <si>
    <t>num_sem_operacaoassistida</t>
  </si>
  <si>
    <t>num_sem_encerramento</t>
  </si>
  <si>
    <t>nome_recurso1</t>
  </si>
  <si>
    <t>nome_recurso2</t>
  </si>
  <si>
    <t>Ganho Projetado</t>
  </si>
  <si>
    <t>Categoria</t>
  </si>
  <si>
    <t>Classificação</t>
  </si>
  <si>
    <t>Complexidade</t>
  </si>
  <si>
    <t>Roadmap de Projetos</t>
  </si>
  <si>
    <t>Alocação de Recursos</t>
  </si>
  <si>
    <t>EN</t>
  </si>
  <si>
    <t>OA</t>
  </si>
  <si>
    <t>nome_recurso3</t>
  </si>
  <si>
    <t>nome_recurso4</t>
  </si>
  <si>
    <t>nome_recurso5</t>
  </si>
  <si>
    <t>categoria_ausencia</t>
  </si>
  <si>
    <t>Recurso</t>
  </si>
  <si>
    <t>Férias</t>
  </si>
  <si>
    <t>Banco de Horas</t>
  </si>
  <si>
    <t>Licença Médica</t>
  </si>
  <si>
    <t>Folga</t>
  </si>
  <si>
    <t>id_categoria_ausencia</t>
  </si>
  <si>
    <t>sigla_categoria_ausencia</t>
  </si>
  <si>
    <t>FE</t>
  </si>
  <si>
    <t>BH</t>
  </si>
  <si>
    <t>LM</t>
  </si>
  <si>
    <t>FO</t>
  </si>
  <si>
    <t>id_ferias</t>
  </si>
  <si>
    <t>Prioridade</t>
  </si>
  <si>
    <t>Projeto</t>
  </si>
  <si>
    <t>BRUNA CASTILHO CAMPANHA ZIROLDO</t>
  </si>
  <si>
    <t>FERNANDO NAPPE</t>
  </si>
  <si>
    <t>Implantação do Sistema de Torre de Monitoramento - Fase 1 (Apoio e Acompanhamento)</t>
  </si>
  <si>
    <t>Implantação do Sistema de Torre de Monitoramento - Fase 2 (Integrações Obrigatórias)</t>
  </si>
  <si>
    <t>Implantação do Sistema de Torre de Monitoramento - Fase 3 (Desenvolvimento de Gatilhos de Status)</t>
  </si>
  <si>
    <t>TABELA DE FRETES - FAIXA KM/KG</t>
  </si>
  <si>
    <t>DANIEL MISTIERI BONES</t>
  </si>
  <si>
    <t>F</t>
  </si>
  <si>
    <t>skill_recurso</t>
  </si>
  <si>
    <t>Negócios</t>
  </si>
  <si>
    <t>Fullstack</t>
  </si>
  <si>
    <t>Backend</t>
  </si>
  <si>
    <t>Skill</t>
  </si>
  <si>
    <t>2025 - S48</t>
  </si>
  <si>
    <t>2025 - S49</t>
  </si>
  <si>
    <t>2025 - S50</t>
  </si>
  <si>
    <t>2025 - S51</t>
  </si>
  <si>
    <t>2025 - S52</t>
  </si>
  <si>
    <t>2026 - S01</t>
  </si>
  <si>
    <t>2026 - S02</t>
  </si>
  <si>
    <t>2026 - S03</t>
  </si>
  <si>
    <t>2026 - S04</t>
  </si>
  <si>
    <t>2026 - S05</t>
  </si>
  <si>
    <t>2026 - S06</t>
  </si>
  <si>
    <t>2026 - S07</t>
  </si>
  <si>
    <t>2026 - S08</t>
  </si>
  <si>
    <t>2026 - S09</t>
  </si>
  <si>
    <t>2026 - S10</t>
  </si>
  <si>
    <t>2026 - S11</t>
  </si>
  <si>
    <t>2026 - S12</t>
  </si>
  <si>
    <t>2026 - S13</t>
  </si>
  <si>
    <t>2026 - S14</t>
  </si>
  <si>
    <t>2026 - S15</t>
  </si>
  <si>
    <t>2026 - S16</t>
  </si>
  <si>
    <t>2026 - S17</t>
  </si>
  <si>
    <t>2026 - S18</t>
  </si>
  <si>
    <t>2026 - S19</t>
  </si>
  <si>
    <t>2026 - S20</t>
  </si>
  <si>
    <t>2026 - S21</t>
  </si>
  <si>
    <t>2026 - S22</t>
  </si>
  <si>
    <t>2026 - S23</t>
  </si>
  <si>
    <t>2026 - S24</t>
  </si>
  <si>
    <t>2026 - S25</t>
  </si>
  <si>
    <t>2026 - S26</t>
  </si>
  <si>
    <t>2026 - S27</t>
  </si>
  <si>
    <t>2026 - S28</t>
  </si>
  <si>
    <t>2026 - S29</t>
  </si>
  <si>
    <t>2026 - S30</t>
  </si>
  <si>
    <t>2026 - S31</t>
  </si>
  <si>
    <t>2026 - S32</t>
  </si>
  <si>
    <t>2026 - S33</t>
  </si>
  <si>
    <t>2026 - S34</t>
  </si>
  <si>
    <t>2026 - S35</t>
  </si>
  <si>
    <t>2026 - S36</t>
  </si>
  <si>
    <t>2026 - S37</t>
  </si>
  <si>
    <t>2026 - S38</t>
  </si>
  <si>
    <t>2026 - S39</t>
  </si>
  <si>
    <t>2026 - S40</t>
  </si>
  <si>
    <t>2026 - S41</t>
  </si>
  <si>
    <t>2026 - S42</t>
  </si>
  <si>
    <t>2026 - S43</t>
  </si>
  <si>
    <t>2026 - S44</t>
  </si>
  <si>
    <t>2026 - S45</t>
  </si>
  <si>
    <t>2026 - S46</t>
  </si>
  <si>
    <t>2026 - S47</t>
  </si>
  <si>
    <t>2026 - S48</t>
  </si>
  <si>
    <t>2026 - S49</t>
  </si>
  <si>
    <t>2026 - S50</t>
  </si>
  <si>
    <t>2026 - S51</t>
  </si>
  <si>
    <t>2026 - S52</t>
  </si>
  <si>
    <t>NEGOCIOS</t>
  </si>
  <si>
    <t>✅ Concluído</t>
  </si>
  <si>
    <t>Max(2)</t>
  </si>
  <si>
    <t>⛔ Aguarda FULLSTACK</t>
  </si>
  <si>
    <t>FULLSTACK</t>
  </si>
  <si>
    <t>---</t>
  </si>
  <si>
    <t>Max(1)</t>
  </si>
  <si>
    <t>BACKEND</t>
  </si>
  <si>
    <t>Parâmetro</t>
  </si>
  <si>
    <t>Valor</t>
  </si>
  <si>
    <t>Squad</t>
  </si>
  <si>
    <t>Data de Início</t>
  </si>
  <si>
    <t>24/11/2025</t>
  </si>
  <si>
    <t>Semana Calculada</t>
  </si>
  <si>
    <t>48/2025</t>
  </si>
  <si>
    <t>Máx. NEGOCIOS</t>
  </si>
  <si>
    <t>Máx. FULLSTACK</t>
  </si>
  <si>
    <t>Máx. BACKEND</t>
  </si>
  <si>
    <t>Máx. FRONTEND</t>
  </si>
  <si>
    <t>Etapa</t>
  </si>
  <si>
    <t>FRONTEND</t>
  </si>
  <si>
    <t>Novo Recurso Dev. Echo</t>
  </si>
  <si>
    <t>Novo Recurso AN. Echo</t>
  </si>
  <si>
    <t>NOVO RECURSO AN. ECHO</t>
  </si>
  <si>
    <t>CENTRAL DE CADASTRO</t>
  </si>
  <si>
    <t>RAVEX - CANHOTO DIGITAL</t>
  </si>
  <si>
    <t>RAVEX - BALDEIO PARCIAL</t>
  </si>
  <si>
    <t>ano_inicio_obrigatorio</t>
  </si>
  <si>
    <t>inicio_obrigatorio</t>
  </si>
  <si>
    <t>ano_termino_obrigatorio</t>
  </si>
  <si>
    <t>termino_obrigatorio</t>
  </si>
  <si>
    <t>inicio</t>
  </si>
  <si>
    <t>termino</t>
  </si>
  <si>
    <t>Não Disponível</t>
  </si>
  <si>
    <t>ND</t>
  </si>
  <si>
    <t>Onboarding</t>
  </si>
  <si>
    <t>OB</t>
  </si>
  <si>
    <t>tipo_projeto</t>
  </si>
  <si>
    <t>id_tipo_projeto</t>
  </si>
  <si>
    <t>Próprio</t>
  </si>
  <si>
    <t>Terceiro</t>
  </si>
  <si>
    <t>Acompanhamento</t>
  </si>
  <si>
    <t>tipo_projeto_descricao</t>
  </si>
  <si>
    <t>Projetos que nós somos responsáveis pelo projeto, desde a iniciação até o encerramento.</t>
  </si>
  <si>
    <t>Projetos que nós somos apenas recursos de desenvolvimento.</t>
  </si>
  <si>
    <t>Projetos que não há desenvolvimento, mas devemos acompanhar.</t>
  </si>
  <si>
    <t>Tipo</t>
  </si>
  <si>
    <t>PROPRIO</t>
  </si>
  <si>
    <t>SISTEMATIZACAO DO FRETE AVULSO (FRETE 2)</t>
  </si>
  <si>
    <t>🏖️ FERIAS</t>
  </si>
  <si>
    <t>OCORRENCIAS POSTERGADAS</t>
  </si>
  <si>
    <t>IMPLANTACAO DO SISTEMA DE TORRE DE MONITORAMENTO - FASE 2</t>
  </si>
  <si>
    <t>CAYQUE DUARTE GONCALVES</t>
  </si>
  <si>
    <t>RAVEX - ROTEIRIZACAO DE GADO</t>
  </si>
  <si>
    <t>⛔ NAO DISPONIVEL</t>
  </si>
  <si>
    <t>⛔ ONBOARDING</t>
  </si>
  <si>
    <t>--- CAPACIDADES ---</t>
  </si>
  <si>
    <t>Tipo Projeto</t>
  </si>
  <si>
    <t>Responsável</t>
  </si>
  <si>
    <t>Não Participa</t>
  </si>
  <si>
    <t>Obrigatório</t>
  </si>
  <si>
    <t>Participa</t>
  </si>
  <si>
    <t>Cayque Duarte Goncalves</t>
  </si>
  <si>
    <t>tipo</t>
  </si>
  <si>
    <t>motivo</t>
  </si>
  <si>
    <t>Outros</t>
  </si>
  <si>
    <t>COMPLETO</t>
  </si>
  <si>
    <t>COR_FUNDO</t>
  </si>
  <si>
    <t>COR_FONTE</t>
  </si>
  <si>
    <t>#F9E6FF</t>
  </si>
  <si>
    <t>#C27AD6</t>
  </si>
  <si>
    <t>#E8F2FF</t>
  </si>
  <si>
    <t>#5B8CCF</t>
  </si>
  <si>
    <t>#E8FFF5</t>
  </si>
  <si>
    <t>#3FA789</t>
  </si>
  <si>
    <t>#FFF6E5</t>
  </si>
  <si>
    <t>#D39A44</t>
  </si>
  <si>
    <t>#FFF0F0</t>
  </si>
  <si>
    <t>#CC6A6A</t>
  </si>
  <si>
    <t>#F7FFE5</t>
  </si>
  <si>
    <t>#8BAF3C</t>
  </si>
  <si>
    <t>#FFFBE6</t>
  </si>
  <si>
    <t>#C4A63A</t>
  </si>
  <si>
    <t>#EFFFFA</t>
  </si>
  <si>
    <t>#33AFA0</t>
  </si>
  <si>
    <t>#F2F2F2</t>
  </si>
  <si>
    <t>#7A7A7A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</si>
</sst>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44" fontId="0" fillId="0" borderId="0" xfId="0" applyNumberFormat="1" applyAlignment="1">
      <alignment horizontal="center"/>
    </xf>
    <xf numFmtId="0" fontId="3" fillId="0" borderId="0" xfId="0" applyFont="1"/>
    <xf numFmtId="4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vertical="center"/>
    </xf>
    <xf numFmtId="44" fontId="3" fillId="0" borderId="3" xfId="0" applyNumberFormat="1" applyFont="1" applyBorder="1" applyAlignment="1">
      <alignment horizontal="left" vertical="center"/>
    </xf>
    <xf numFmtId="4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4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4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/>
    <xf numFmtId="4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center"/>
    </xf>
    <xf numFmtId="0" fontId="4" fillId="0" borderId="17" xfId="0" applyFont="1" applyBorder="1" applyAlignment="1">
      <alignment horizontal="centerContinuous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99">
    <dxf>
      <font>
        <color rgb="FF1C2833"/>
      </font>
      <fill>
        <patternFill>
          <bgColor rgb="FFB0C4DE"/>
        </patternFill>
      </fill>
    </dxf>
    <dxf>
      <font>
        <color rgb="FF4A4A35"/>
      </font>
      <fill>
        <patternFill>
          <bgColor rgb="FFF5F5DC"/>
        </patternFill>
      </fill>
    </dxf>
    <dxf>
      <font>
        <color rgb="FF004D40"/>
      </font>
      <fill>
        <patternFill>
          <bgColor rgb="FFAFE4DE"/>
        </patternFill>
      </fill>
    </dxf>
    <dxf>
      <font>
        <color rgb="FF1B5E20"/>
      </font>
      <fill>
        <patternFill>
          <bgColor rgb="FF98FF98"/>
        </patternFill>
      </fill>
    </dxf>
    <dxf>
      <font>
        <color rgb="FF662E52"/>
      </font>
      <fill>
        <patternFill>
          <bgColor rgb="FFE6A8D7"/>
        </patternFill>
      </fill>
    </dxf>
    <dxf>
      <font>
        <color rgb="FF6B3030"/>
      </font>
      <fill>
        <patternFill>
          <bgColor rgb="FFFFD1DC"/>
        </patternFill>
      </fill>
    </dxf>
    <dxf>
      <font>
        <color rgb="FF4B2C6F"/>
      </font>
      <fill>
        <patternFill>
          <bgColor rgb="FFC3B1E1"/>
        </patternFill>
      </fill>
    </dxf>
    <dxf>
      <font>
        <color rgb="FF5C5C29"/>
      </font>
      <fill>
        <patternFill>
          <bgColor rgb="FFFDFD96"/>
        </patternFill>
      </fill>
    </dxf>
    <dxf>
      <font>
        <color rgb="FF1A3A4A"/>
      </font>
      <fill>
        <patternFill>
          <bgColor rgb="FFAEC6CF"/>
        </patternFill>
      </fill>
    </dxf>
    <dxf>
      <font>
        <color rgb="FF1C2833"/>
      </font>
      <fill>
        <patternFill>
          <bgColor rgb="FFB0C4DE"/>
        </patternFill>
      </fill>
    </dxf>
    <dxf>
      <font>
        <color rgb="FF4A4A35"/>
      </font>
      <fill>
        <patternFill>
          <bgColor rgb="FFF5F5DC"/>
        </patternFill>
      </fill>
    </dxf>
    <dxf>
      <font>
        <color rgb="FF004D40"/>
      </font>
      <fill>
        <patternFill>
          <bgColor rgb="FFAFE4DE"/>
        </patternFill>
      </fill>
    </dxf>
    <dxf>
      <font>
        <color rgb="FF1B5E20"/>
      </font>
      <fill>
        <patternFill>
          <bgColor rgb="FF98FF98"/>
        </patternFill>
      </fill>
    </dxf>
    <dxf>
      <font>
        <color rgb="FF662E52"/>
      </font>
      <fill>
        <patternFill>
          <bgColor rgb="FFE6A8D7"/>
        </patternFill>
      </fill>
    </dxf>
    <dxf>
      <font>
        <color rgb="FF6B3030"/>
      </font>
      <fill>
        <patternFill>
          <bgColor rgb="FFFFD1DC"/>
        </patternFill>
      </fill>
    </dxf>
    <dxf>
      <font>
        <color rgb="FF4B2C6F"/>
      </font>
      <fill>
        <patternFill>
          <bgColor rgb="FFC3B1E1"/>
        </patternFill>
      </fill>
    </dxf>
    <dxf>
      <font>
        <color rgb="FF5C5C29"/>
      </font>
      <fill>
        <patternFill>
          <bgColor rgb="FFFDFD96"/>
        </patternFill>
      </fill>
    </dxf>
    <dxf>
      <font>
        <color rgb="FF1A3A4A"/>
      </font>
      <fill>
        <patternFill>
          <bgColor rgb="FFAEC6CF"/>
        </patternFill>
      </fill>
    </dxf>
    <dxf>
      <font>
        <color rgb="FF1C2833"/>
      </font>
      <fill>
        <patternFill>
          <bgColor rgb="FFB0C4DE"/>
        </patternFill>
      </fill>
    </dxf>
    <dxf>
      <font>
        <color rgb="FF4A4A35"/>
      </font>
      <fill>
        <patternFill>
          <bgColor rgb="FFF5F5DC"/>
        </patternFill>
      </fill>
    </dxf>
    <dxf>
      <font>
        <color rgb="FF004D40"/>
      </font>
      <fill>
        <patternFill>
          <bgColor rgb="FFAFE4DE"/>
        </patternFill>
      </fill>
    </dxf>
    <dxf>
      <font>
        <color rgb="FF1B5E20"/>
      </font>
      <fill>
        <patternFill>
          <bgColor rgb="FF98FF98"/>
        </patternFill>
      </fill>
    </dxf>
    <dxf>
      <font>
        <color rgb="FF662E52"/>
      </font>
      <fill>
        <patternFill>
          <bgColor rgb="FFE6A8D7"/>
        </patternFill>
      </fill>
    </dxf>
    <dxf>
      <font>
        <color rgb="FF6B3030"/>
      </font>
      <fill>
        <patternFill>
          <bgColor rgb="FFFFD1DC"/>
        </patternFill>
      </fill>
    </dxf>
    <dxf>
      <font>
        <color rgb="FF4B2C6F"/>
      </font>
      <fill>
        <patternFill>
          <bgColor rgb="FFC3B1E1"/>
        </patternFill>
      </fill>
    </dxf>
    <dxf>
      <font>
        <color rgb="FF5C5C29"/>
      </font>
      <fill>
        <patternFill>
          <bgColor rgb="FFFDFD96"/>
        </patternFill>
      </fill>
    </dxf>
    <dxf>
      <font>
        <color rgb="FF1A3A4A"/>
      </font>
      <fill>
        <patternFill>
          <bgColor rgb="FFAEC6CF"/>
        </patternFill>
      </fill>
    </dxf>
    <dxf>
      <font>
        <color rgb="FF1C2833"/>
      </font>
      <fill>
        <patternFill>
          <bgColor rgb="FFB0C4DE"/>
        </patternFill>
      </fill>
    </dxf>
    <dxf>
      <font>
        <color rgb="FF4A4A35"/>
      </font>
      <fill>
        <patternFill>
          <bgColor rgb="FFF5F5DC"/>
        </patternFill>
      </fill>
    </dxf>
    <dxf>
      <font>
        <color rgb="FF004D40"/>
      </font>
      <fill>
        <patternFill>
          <bgColor rgb="FFAFE4DE"/>
        </patternFill>
      </fill>
    </dxf>
    <dxf>
      <font>
        <color rgb="FF1B5E20"/>
      </font>
      <fill>
        <patternFill>
          <bgColor rgb="FF98FF98"/>
        </patternFill>
      </fill>
    </dxf>
    <dxf>
      <font>
        <color rgb="FF662E52"/>
      </font>
      <fill>
        <patternFill>
          <bgColor rgb="FFE6A8D7"/>
        </patternFill>
      </fill>
    </dxf>
    <dxf>
      <font>
        <color rgb="FF6B3030"/>
      </font>
      <fill>
        <patternFill>
          <bgColor rgb="FFFFD1DC"/>
        </patternFill>
      </fill>
    </dxf>
    <dxf>
      <font>
        <color rgb="FF4B2C6F"/>
      </font>
      <fill>
        <patternFill>
          <bgColor rgb="FFC3B1E1"/>
        </patternFill>
      </fill>
    </dxf>
    <dxf>
      <font>
        <color rgb="FF5C5C29"/>
      </font>
      <fill>
        <patternFill>
          <bgColor rgb="FFFDFD96"/>
        </patternFill>
      </fill>
    </dxf>
    <dxf>
      <font>
        <color rgb="FF1A3A4A"/>
      </font>
      <fill>
        <patternFill>
          <bgColor rgb="FFAEC6CF"/>
        </patternFill>
      </fill>
    </dxf>
    <dxf>
      <alignment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C2833"/>
      <color rgb="FF4A4A35"/>
      <color rgb="FF004D40"/>
      <color rgb="FF1B5E20"/>
      <color rgb="FF662E52"/>
      <color rgb="FF6B3030"/>
      <color rgb="FF4B2C6F"/>
      <color rgb="FF5C5C29"/>
      <color rgb="FF1A3A4A"/>
      <color rgb="FFB0C4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0/relationships/richValueRel" Target="richData/richValueRel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51955</xdr:colOff>
      <xdr:row>0</xdr:row>
      <xdr:rowOff>86591</xdr:rowOff>
    </xdr:from>
    <xdr:to>
      <xdr:col>0</xdr:col>
      <xdr:colOff>2251364</xdr:colOff>
      <xdr:row>2</xdr:row>
      <xdr:rowOff>34637</xdr:rowOff>
    </xdr:to>
    <xdr:sp macro="[0]!RodarSimulacao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730E01E-2AB0-455C-993D-E1511EC7D220}"/>
            </a:ext>
          </a:extLst>
        </xdr:cNvPr>
        <xdr:cNvSpPr/>
      </xdr:nvSpPr>
      <xdr:spPr>
        <a:xfrm>
          <a:off x="51955" y="86591"/>
          <a:ext cx="2199409" cy="46239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Montserrat" panose="00000500000000000000" pitchFamily="2" charset="0"/>
            </a:rPr>
            <a:t>Gerar Cenário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51955</xdr:colOff>
      <xdr:row>0</xdr:row>
      <xdr:rowOff>86591</xdr:rowOff>
    </xdr:from>
    <xdr:to>
      <xdr:col>0</xdr:col>
      <xdr:colOff>2251364</xdr:colOff>
      <xdr:row>2</xdr:row>
      <xdr:rowOff>34637</xdr:rowOff>
    </xdr:to>
    <xdr:sp macro="[0]!RodarSimulacao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60B7571-E1F4-4905-A0D8-8A8612F90A2E}"/>
            </a:ext>
          </a:extLst>
        </xdr:cNvPr>
        <xdr:cNvSpPr/>
      </xdr:nvSpPr>
      <xdr:spPr>
        <a:xfrm>
          <a:off x="51955" y="86591"/>
          <a:ext cx="2199409" cy="46239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Montserrat" panose="00000500000000000000" pitchFamily="2" charset="0"/>
            </a:rPr>
            <a:t>Gerar Cenário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51955</xdr:colOff>
      <xdr:row>0</xdr:row>
      <xdr:rowOff>86591</xdr:rowOff>
    </xdr:from>
    <xdr:to>
      <xdr:col>0</xdr:col>
      <xdr:colOff>2251364</xdr:colOff>
      <xdr:row>2</xdr:row>
      <xdr:rowOff>34637</xdr:rowOff>
    </xdr:to>
    <xdr:sp macro="[0]!RodarSimulacao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F4EFC0A-E3A5-4189-9396-E52FD5791350}"/>
            </a:ext>
          </a:extLst>
        </xdr:cNvPr>
        <xdr:cNvSpPr/>
      </xdr:nvSpPr>
      <xdr:spPr>
        <a:xfrm>
          <a:off x="51955" y="86591"/>
          <a:ext cx="2199409" cy="46239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Montserrat" panose="00000500000000000000" pitchFamily="2" charset="0"/>
            </a:rPr>
            <a:t>Gerar Cenário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4</v>
  </rv>
  <rv s="0">
    <v>1</v>
    <v>4</v>
  </rv>
  <rv s="0">
    <v>2</v>
    <v>4</v>
  </rv>
  <rv s="0">
    <v>0</v>
    <v>5</v>
  </rv>
  <rv s="0">
    <v>3</v>
    <v>5</v>
  </rv>
  <rv s="0">
    <v>2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91BB9A-A1C8-4B19-938B-85114A8C508A}" name="tab_projetos" displayName="tab_projetos" ref="A1:AA9" totalsRowShown="0" headerRowDxfId="98" dataDxfId="97">
  <autoFilter ref="A1:AA9" xr:uid="{4291BB9A-A1C8-4B19-938B-85114A8C508A}"/>
  <sortState xmlns:xlrd2="http://schemas.microsoft.com/office/spreadsheetml/2017/richdata2" ref="A2:AA6">
    <sortCondition ref="E1:E6"/>
  </sortState>
  <tableColumns count="27">
    <tableColumn id="1" xr3:uid="{F77D200A-86AF-45E5-BDEA-2F5496FA0157}" name="id_projeto" dataDxfId="96">
      <calculatedColumnFormula>+ROW(C2)-1</calculatedColumnFormula>
    </tableColumn>
    <tableColumn id="25" xr3:uid="{4BDB45DA-E7D5-4361-9268-37A0531189C7}" name="tipo_projeto" dataDxfId="95"/>
    <tableColumn id="2" xr3:uid="{809D480E-7DD7-497E-929F-D213AA241495}" name="nome_projeto"/>
    <tableColumn id="3" xr3:uid="{45091C2F-53CB-477F-BDA0-C5D7B8B8ACA5}" name="nome_squad" dataDxfId="94"/>
    <tableColumn id="9" xr3:uid="{CC9DC1B6-E2C8-478C-826E-C358ABC6AD16}" name="prioridade" dataDxfId="93"/>
    <tableColumn id="7" xr3:uid="{2A6FD7AB-5B8C-4E67-B88D-F97B4A528EEB}" name="ganho_projetado" dataDxfId="92"/>
    <tableColumn id="4" xr3:uid="{6930ACE3-1563-4217-BFE8-19CFAF3DB35E}" name="tag" dataDxfId="91"/>
    <tableColumn id="5" xr3:uid="{6CBF8D7F-E23A-46D9-B6C3-89941845C884}" name="classificacao" dataDxfId="90"/>
    <tableColumn id="6" xr3:uid="{F7326383-3C63-44E2-894A-1549FFE00ED1}" name="complexidade" dataDxfId="89"/>
    <tableColumn id="21" xr3:uid="{C8B3EC2B-D6BC-4116-8B30-5EADB79DA794}" name="ano_inicio_obrigatorio" dataDxfId="88"/>
    <tableColumn id="22" xr3:uid="{54603B4D-2358-4580-B230-1DD85D026775}" name="inicio_obrigatorio" dataDxfId="87"/>
    <tableColumn id="24" xr3:uid="{0A65ECCE-2B51-4B8B-8862-EE2D5EFF5441}" name="ano_termino_obrigatorio" dataDxfId="86"/>
    <tableColumn id="23" xr3:uid="{3EF9DD06-1E19-465A-98CE-417DC56F62E4}" name="termino_obrigatorio" dataDxfId="85"/>
    <tableColumn id="10" xr3:uid="{A1738006-F54B-447A-82F0-5E1166D2F383}" name="num_sem_iniciacao" dataDxfId="84"/>
    <tableColumn id="11" xr3:uid="{FD593DE4-1D9E-48AE-902D-84C0FFA3F7E3}" name="num_sem_especificacao" dataDxfId="83"/>
    <tableColumn id="12" xr3:uid="{4F2161C4-1C69-43DA-BA89-2D3A891643F8}" name="num_sem_planejamento" dataDxfId="82"/>
    <tableColumn id="13" xr3:uid="{B377617D-BCFD-4046-899D-A8C55147556F}" name="num_sem_desenvolvimento" dataDxfId="81"/>
    <tableColumn id="14" xr3:uid="{D2C61B17-6EC7-4E4B-A9F9-59911CFA02FB}" name="num_sem_qa" dataDxfId="80"/>
    <tableColumn id="15" xr3:uid="{89C55BA8-BBBC-424E-B128-42EB13BFB569}" name="num_sem_homologacao" dataDxfId="79"/>
    <tableColumn id="16" xr3:uid="{F59D1975-9907-43FF-9AFA-585FB4F3608C}" name="num_sem_implantacao" dataDxfId="78"/>
    <tableColumn id="17" xr3:uid="{E87D7087-8B97-48D7-A13E-292BEE4AC073}" name="num_sem_operacaoassistida" dataDxfId="77"/>
    <tableColumn id="18" xr3:uid="{496D1228-1C9A-465D-A1E9-28B1548BC4F6}" name="num_sem_encerramento" dataDxfId="76"/>
    <tableColumn id="29" xr3:uid="{05BB5D2E-9DCF-41B6-A65C-38A49BF46646}" name="nome_recurso1" dataDxfId="75"/>
    <tableColumn id="30" xr3:uid="{4ADACC10-3FF8-4CF1-9055-BB2B147AE692}" name="nome_recurso2" dataDxfId="74"/>
    <tableColumn id="8" xr3:uid="{683A367B-9842-4F0E-B7A5-E6645148B840}" name="nome_recurso3" dataDxfId="73"/>
    <tableColumn id="19" xr3:uid="{9A2BECF1-D5EE-4DA1-B14B-6900D40339B7}" name="nome_recurso4" dataDxfId="72"/>
    <tableColumn id="20" xr3:uid="{24C18845-84A7-4512-B150-86B6E801B477}" name="nome_recurso5" dataDxfId="71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0A73F9-78D9-4618-AD2C-DF8891684DA0}" name="tab_recursos" displayName="tab_recursos" ref="A1:G48" totalsRowShown="0" headerRowDxfId="70">
  <autoFilter ref="A1:G48" xr:uid="{750A73F9-78D9-4618-AD2C-DF8891684DA0}"/>
  <tableColumns count="7">
    <tableColumn id="1" xr3:uid="{CD960C1A-04F7-4352-AADE-D55AA03823EF}" name="id_recurso" dataDxfId="69">
      <calculatedColumnFormula>+ROW(B2)-1</calculatedColumnFormula>
    </tableColumn>
    <tableColumn id="2" xr3:uid="{97B10B64-D6A2-46A8-9576-EFBBAB144D56}" name="nome_recurso"/>
    <tableColumn id="3" xr3:uid="{883C8EA7-1971-4A09-8A29-10DD3F32EF98}" name="cargo_recurso"/>
    <tableColumn id="6" xr3:uid="{F0FC878F-5F9F-41CE-8C57-6C48A8906C8D}" name="skill_recurso" dataDxfId="68"/>
    <tableColumn id="4" xr3:uid="{96ECE446-33F0-416A-BBF8-67884915F7C0}" name="contrato_recurso" dataDxfId="67"/>
    <tableColumn id="5" xr3:uid="{7CCC0B9D-4636-433C-8DBD-141C65952E5F}" name="nome_squad" dataDxfId="66"/>
    <tableColumn id="7" xr3:uid="{90B0CAA0-6590-40CB-9C14-0B6C5DD57BE0}" name="foto_recurso" dataDxfId="65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72E2A9-DFF9-441F-B2F1-365A82E66D47}" name="tab_ferias" displayName="tab_ferias" ref="A1:F4" totalsRowShown="0" headerRowDxfId="64">
  <autoFilter ref="A1:F4" xr:uid="{750A73F9-78D9-4618-AD2C-DF8891684DA0}"/>
  <tableColumns count="6">
    <tableColumn id="1" xr3:uid="{8BBBA4D3-A3F6-4733-B86B-6CCCE95C1AE3}" name="id_ferias" dataDxfId="63">
      <calculatedColumnFormula>+ROW(B2)-1</calculatedColumnFormula>
    </tableColumn>
    <tableColumn id="2" xr3:uid="{8A99C7CC-F133-42A1-B8A0-A0EC03A95971}" name="nome_recurso"/>
    <tableColumn id="6" xr3:uid="{5271B03B-CB79-4B9B-BD60-A7E21CB66672}" name="inicio" dataDxfId="62"/>
    <tableColumn id="3" xr3:uid="{098D5041-882D-476E-BC68-5B0578F17EFC}" name="termino" dataDxfId="61"/>
    <tableColumn id="5" xr3:uid="{7C40CE22-A2ED-43C4-82E0-DEC1F0B248FF}" name="tipo" dataDxfId="60"/>
    <tableColumn id="4" xr3:uid="{3FD6A084-1CAB-4444-9B0E-A646EE895D10}" name="motivo" dataDxfId="59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AA200-F2EE-4C9B-81AA-7230D0336986}" name="tab_squad" displayName="tab_squad" ref="A1:C11" totalsRowShown="0" headerRowDxfId="58">
  <autoFilter ref="A1:C11" xr:uid="{ED4AA200-F2EE-4C9B-81AA-7230D0336986}"/>
  <tableColumns count="3">
    <tableColumn id="1" xr3:uid="{B46F9725-C9DF-4861-975D-901B09F80353}" name="id_squad" dataDxfId="57">
      <calculatedColumnFormula>+ROW(B2)-1</calculatedColumnFormula>
    </tableColumn>
    <tableColumn id="2" xr3:uid="{4182FB45-F6E9-44B2-A5AB-B42A3ED50EA4}" name="nome_squad"/>
    <tableColumn id="3" xr3:uid="{B2B4202B-F405-4BEC-8B41-E6EAEAAE5CAC}" name="dominio_negocio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A651FD-6B97-41F4-92E6-3887B9FFCB6E}" name="tab_tag" displayName="tab_tag" ref="A1:B7" totalsRowShown="0" headerRowDxfId="56">
  <autoFilter ref="A1:B7" xr:uid="{ED4AA200-F2EE-4C9B-81AA-7230D0336986}"/>
  <tableColumns count="2">
    <tableColumn id="1" xr3:uid="{2C2384A8-77AD-4327-BC13-C723CDEA3924}" name="id_tag" dataDxfId="55">
      <calculatedColumnFormula>+ROW(B2)-1</calculatedColumnFormula>
    </tableColumn>
    <tableColumn id="2" xr3:uid="{1FD31BCD-61DC-49EF-BDF6-7B1B25DD8FA5}" name="tag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563AC4-A742-408C-8B59-7CA0BF1EECA8}" name="tab_classificacao" displayName="tab_classificacao" ref="A1:B7" totalsRowShown="0" headerRowDxfId="54">
  <autoFilter ref="A1:B7" xr:uid="{ED4AA200-F2EE-4C9B-81AA-7230D0336986}"/>
  <tableColumns count="2">
    <tableColumn id="1" xr3:uid="{C0C1EA35-50BA-4D21-803D-264B90951BBA}" name="id_classificacao" dataDxfId="53">
      <calculatedColumnFormula>+ROW(B2)-1</calculatedColumnFormula>
    </tableColumn>
    <tableColumn id="2" xr3:uid="{441F79CC-4044-460A-8D39-26817C5B3594}" name="classificacao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ADC91C-13C7-4525-BCAA-1160D81F6C8C}" name="tab_complexidade" displayName="tab_complexidade" ref="A1:B5" totalsRowShown="0" headerRowDxfId="52">
  <autoFilter ref="A1:B5" xr:uid="{ED4AA200-F2EE-4C9B-81AA-7230D0336986}"/>
  <tableColumns count="2">
    <tableColumn id="1" xr3:uid="{EC691750-2CA5-4F12-B1D2-485B5A4BC43D}" name="id_complexidade" dataDxfId="51">
      <calculatedColumnFormula>+ROW(B2)-1</calculatedColumnFormula>
    </tableColumn>
    <tableColumn id="2" xr3:uid="{78413C95-A5DA-4DB8-A155-257FF402A0AA}" name="complexidade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E4D8D8-95F4-4D88-A5C2-B8773E7DFEFD}" name="tab_etapas" displayName="tab_etapas" ref="A1:C10" totalsRowShown="0" headerRowDxfId="50">
  <autoFilter ref="A1:C10" xr:uid="{ED4AA200-F2EE-4C9B-81AA-7230D0336986}"/>
  <tableColumns count="3">
    <tableColumn id="1" xr3:uid="{D94AD7A8-7BBE-48B7-A6C9-7D17392593CF}" name="id_etapa" dataDxfId="49">
      <calculatedColumnFormula>+ROW(B2)-1</calculatedColumnFormula>
    </tableColumn>
    <tableColumn id="2" xr3:uid="{8329883F-E7C9-4525-8B43-66BB9FB1B8DB}" name="nome_etapa"/>
    <tableColumn id="7" xr3:uid="{CC4CA9F8-C205-4CD1-B78A-294AE6B0AAB9}" name="sigla_etapa" dataDxfId="48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9F997F-5B3A-4401-9A6B-F604D6D8E891}" name="tab_tag11" displayName="tab_tag11" ref="A1:C7" totalsRowShown="0" headerRowDxfId="47">
  <autoFilter ref="A1:C7" xr:uid="{ED4AA200-F2EE-4C9B-81AA-7230D0336986}"/>
  <tableColumns count="3">
    <tableColumn id="1" xr3:uid="{6727B223-2A23-466F-8023-D5723042B78F}" name="id_categoria_ausencia" dataDxfId="46">
      <calculatedColumnFormula>+ROW(B2)-1</calculatedColumnFormula>
    </tableColumn>
    <tableColumn id="2" xr3:uid="{7B0DBEEF-5408-461A-81A7-6FFFE8CB50A7}" name="categoria_ausencia"/>
    <tableColumn id="3" xr3:uid="{0D7F9225-B519-487E-A27E-F6E0866E0B7F}" name="sigla_categoria_ausencia" dataDxfId="45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82C995-8588-40D9-A181-9EABD01F4F15}" name="tab_regras" displayName="tab_regras" ref="A1:B3" totalsRowShown="0" headerRowDxfId="44" dataDxfId="43">
  <autoFilter ref="A1:B3" xr:uid="{B182C995-8588-40D9-A181-9EABD01F4F15}"/>
  <tableColumns count="2">
    <tableColumn id="1" xr3:uid="{C3B8BF86-E6DF-47A8-B470-34B1648BC2A9}" name="id_regra" dataDxfId="42">
      <calculatedColumnFormula>+ROW(B2)-1</calculatedColumnFormula>
    </tableColumn>
    <tableColumn id="2" xr3:uid="{1B966331-9832-4280-921E-F268D1469AA0}" name="regra" dataDxfId="41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195BA3F-7A6C-4691-9B93-57177771DE7B}" name="tab_regras13" displayName="tab_regras13" ref="A1:C4" totalsRowShown="0" headerRowDxfId="40" dataDxfId="39">
  <autoFilter ref="A1:C4" xr:uid="{B182C995-8588-40D9-A181-9EABD01F4F15}"/>
  <tableColumns count="3">
    <tableColumn id="1" xr3:uid="{E202C73F-63B9-482C-8DD8-59F26C5576CC}" name="id_tipo_projeto" dataDxfId="38">
      <calculatedColumnFormula>+ROW(B2)-1</calculatedColumnFormula>
    </tableColumn>
    <tableColumn id="2" xr3:uid="{741B4A0D-891F-4C63-BACC-5FB92749C1A0}" name="tipo_projeto" dataDxfId="37"/>
    <tableColumn id="3" xr3:uid="{8448901D-04F5-43BC-B7C6-630AC6E5D276}" name="tipo_projeto_descricao" dataDxfId="3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8A4B-5452-4FC5-B497-12CDD92211A8}">
  <sheetPr codeName="Planilha14">
    <outlinePr summaryBelow="0" summaryRight="0"/>
    <pageSetUpPr fitToPage="1"/>
  </sheetPr>
  <dimension ref="A2:BS43"/>
  <sheetViews>
    <sheetView showGridLines="0" topLeftCell="A9" zoomScale="55" zoomScaleNormal="55" workbookViewId="0">
      <selection activeCell="N20" sqref="N20:BS26"/>
    </sheetView>
  </sheetViews>
  <sheetFormatPr defaultColWidth="9.109375" defaultRowHeight="18" outlineLevelCol="1" x14ac:dyDescent="0.4"/>
  <cols>
    <col min="1" max="1" width="60.6640625" style="10" customWidth="1"/>
    <col min="2" max="2" width="6.6640625" style="10" customWidth="1" collapsed="1"/>
    <col min="3" max="3" width="25.6640625" style="11" hidden="1" customWidth="1" outlineLevel="1"/>
    <col min="4" max="4" width="25.6640625" style="12" hidden="1" customWidth="1" outlineLevel="1"/>
    <col min="5" max="5" width="40.6640625" style="12" hidden="1" customWidth="1" outlineLevel="1"/>
    <col min="6" max="6" width="25.6640625" style="12" hidden="1" customWidth="1" outlineLevel="1"/>
    <col min="7" max="71" width="6.33203125" style="12" customWidth="1"/>
    <col min="72" max="16384" width="9.109375" style="10"/>
  </cols>
  <sheetData>
    <row r="2" spans="1:71" s="33" customFormat="1" ht="21.6" x14ac:dyDescent="0.5">
      <c r="C2" s="34"/>
      <c r="D2" s="35"/>
      <c r="E2" s="35"/>
      <c r="F2" s="35"/>
      <c r="G2" s="36" t="s">
        <v>162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</row>
    <row r="3" spans="1:71" x14ac:dyDescent="0.4">
      <c r="G3" s="39" t="s">
        <v>142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  <c r="T3" s="39" t="s">
        <v>143</v>
      </c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1"/>
      <c r="AG3" s="39" t="s">
        <v>144</v>
      </c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1"/>
      <c r="AT3" s="39" t="s">
        <v>145</v>
      </c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1"/>
      <c r="BG3" s="39" t="s">
        <v>146</v>
      </c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1"/>
    </row>
    <row r="4" spans="1:71" x14ac:dyDescent="0.4">
      <c r="G4" s="39" t="s">
        <v>137</v>
      </c>
      <c r="H4" s="40"/>
      <c r="I4" s="40"/>
      <c r="J4" s="40"/>
      <c r="K4" s="41"/>
      <c r="L4" s="39" t="s">
        <v>138</v>
      </c>
      <c r="M4" s="40"/>
      <c r="N4" s="40"/>
      <c r="O4" s="41"/>
      <c r="P4" s="39" t="s">
        <v>139</v>
      </c>
      <c r="Q4" s="40"/>
      <c r="R4" s="40"/>
      <c r="S4" s="41"/>
      <c r="T4" s="39" t="s">
        <v>128</v>
      </c>
      <c r="U4" s="40"/>
      <c r="V4" s="40"/>
      <c r="W4" s="40"/>
      <c r="X4" s="41"/>
      <c r="Y4" s="39" t="s">
        <v>129</v>
      </c>
      <c r="Z4" s="40"/>
      <c r="AA4" s="40"/>
      <c r="AB4" s="41"/>
      <c r="AC4" s="39" t="s">
        <v>130</v>
      </c>
      <c r="AD4" s="40"/>
      <c r="AE4" s="40"/>
      <c r="AF4" s="41"/>
      <c r="AG4" s="39" t="s">
        <v>131</v>
      </c>
      <c r="AH4" s="40"/>
      <c r="AI4" s="40"/>
      <c r="AJ4" s="40"/>
      <c r="AK4" s="41"/>
      <c r="AL4" s="39" t="s">
        <v>132</v>
      </c>
      <c r="AM4" s="40"/>
      <c r="AN4" s="40"/>
      <c r="AO4" s="41"/>
      <c r="AP4" s="39" t="s">
        <v>133</v>
      </c>
      <c r="AQ4" s="40"/>
      <c r="AR4" s="40"/>
      <c r="AS4" s="41"/>
      <c r="AT4" s="39" t="s">
        <v>134</v>
      </c>
      <c r="AU4" s="40"/>
      <c r="AV4" s="40"/>
      <c r="AW4" s="40"/>
      <c r="AX4" s="41"/>
      <c r="AY4" s="39" t="s">
        <v>135</v>
      </c>
      <c r="AZ4" s="40"/>
      <c r="BA4" s="40"/>
      <c r="BB4" s="41"/>
      <c r="BC4" s="39" t="s">
        <v>136</v>
      </c>
      <c r="BD4" s="40"/>
      <c r="BE4" s="40"/>
      <c r="BF4" s="41"/>
      <c r="BG4" s="39" t="s">
        <v>137</v>
      </c>
      <c r="BH4" s="40"/>
      <c r="BI4" s="40"/>
      <c r="BJ4" s="40"/>
      <c r="BK4" s="41"/>
      <c r="BL4" s="39" t="s">
        <v>138</v>
      </c>
      <c r="BM4" s="40"/>
      <c r="BN4" s="40"/>
      <c r="BO4" s="41"/>
      <c r="BP4" s="39" t="s">
        <v>139</v>
      </c>
      <c r="BQ4" s="40"/>
      <c r="BR4" s="40"/>
      <c r="BS4" s="41"/>
    </row>
    <row r="5" spans="1:71" x14ac:dyDescent="0.4">
      <c r="A5" s="15" t="s">
        <v>119</v>
      </c>
      <c r="B5" s="15"/>
      <c r="C5" s="16" t="s">
        <v>158</v>
      </c>
      <c r="D5" s="14" t="s">
        <v>159</v>
      </c>
      <c r="E5" s="14" t="s">
        <v>160</v>
      </c>
      <c r="F5" s="14" t="s">
        <v>161</v>
      </c>
      <c r="G5" s="37">
        <v>40</v>
      </c>
      <c r="H5" s="12">
        <v>41</v>
      </c>
      <c r="I5" s="12">
        <v>42</v>
      </c>
      <c r="J5" s="12">
        <v>43</v>
      </c>
      <c r="K5" s="38">
        <v>44</v>
      </c>
      <c r="L5" s="37">
        <v>45</v>
      </c>
      <c r="M5" s="12">
        <v>46</v>
      </c>
      <c r="N5" s="12">
        <v>47</v>
      </c>
      <c r="O5" s="38">
        <v>48</v>
      </c>
      <c r="P5" s="37">
        <v>49</v>
      </c>
      <c r="Q5" s="12">
        <v>50</v>
      </c>
      <c r="R5" s="12">
        <v>51</v>
      </c>
      <c r="S5" s="38">
        <v>52</v>
      </c>
      <c r="T5" s="37">
        <v>1</v>
      </c>
      <c r="U5" s="12">
        <v>2</v>
      </c>
      <c r="V5" s="12">
        <v>3</v>
      </c>
      <c r="W5" s="12">
        <v>4</v>
      </c>
      <c r="X5" s="38">
        <v>5</v>
      </c>
      <c r="Y5" s="37">
        <v>6</v>
      </c>
      <c r="Z5" s="12">
        <v>7</v>
      </c>
      <c r="AA5" s="12">
        <v>8</v>
      </c>
      <c r="AB5" s="38">
        <v>9</v>
      </c>
      <c r="AC5" s="37">
        <v>10</v>
      </c>
      <c r="AD5" s="12">
        <v>11</v>
      </c>
      <c r="AE5" s="12">
        <v>12</v>
      </c>
      <c r="AF5" s="38">
        <v>13</v>
      </c>
      <c r="AG5" s="37">
        <v>14</v>
      </c>
      <c r="AH5" s="12">
        <v>15</v>
      </c>
      <c r="AI5" s="12">
        <v>16</v>
      </c>
      <c r="AJ5" s="12">
        <v>17</v>
      </c>
      <c r="AK5" s="38">
        <v>18</v>
      </c>
      <c r="AL5" s="37">
        <v>19</v>
      </c>
      <c r="AM5" s="12">
        <v>20</v>
      </c>
      <c r="AN5" s="12">
        <v>21</v>
      </c>
      <c r="AO5" s="38">
        <v>22</v>
      </c>
      <c r="AP5" s="37">
        <v>23</v>
      </c>
      <c r="AQ5" s="12">
        <v>24</v>
      </c>
      <c r="AR5" s="12">
        <v>25</v>
      </c>
      <c r="AS5" s="38">
        <v>26</v>
      </c>
      <c r="AT5" s="37">
        <v>27</v>
      </c>
      <c r="AU5" s="12">
        <v>28</v>
      </c>
      <c r="AV5" s="12">
        <v>29</v>
      </c>
      <c r="AW5" s="12">
        <v>30</v>
      </c>
      <c r="AX5" s="38">
        <v>31</v>
      </c>
      <c r="AY5" s="37">
        <v>32</v>
      </c>
      <c r="AZ5" s="12">
        <v>33</v>
      </c>
      <c r="BA5" s="12">
        <v>34</v>
      </c>
      <c r="BB5" s="38">
        <v>35</v>
      </c>
      <c r="BC5" s="37">
        <v>36</v>
      </c>
      <c r="BD5" s="12">
        <v>37</v>
      </c>
      <c r="BE5" s="12">
        <v>38</v>
      </c>
      <c r="BF5" s="38">
        <v>39</v>
      </c>
      <c r="BG5" s="37">
        <v>40</v>
      </c>
      <c r="BH5" s="12">
        <v>41</v>
      </c>
      <c r="BI5" s="12">
        <v>42</v>
      </c>
      <c r="BJ5" s="12">
        <v>43</v>
      </c>
      <c r="BK5" s="38">
        <v>44</v>
      </c>
      <c r="BL5" s="37">
        <v>45</v>
      </c>
      <c r="BM5" s="12">
        <v>46</v>
      </c>
      <c r="BN5" s="12">
        <v>47</v>
      </c>
      <c r="BO5" s="38">
        <v>48</v>
      </c>
      <c r="BP5" s="37">
        <v>49</v>
      </c>
      <c r="BQ5" s="12">
        <v>50</v>
      </c>
      <c r="BR5" s="12">
        <v>51</v>
      </c>
      <c r="BS5" s="38">
        <v>52</v>
      </c>
    </row>
    <row r="6" spans="1:71" s="13" customFormat="1" ht="39.9" customHeight="1" x14ac:dyDescent="0.3">
      <c r="A6" s="56" t="str" cm="1">
        <f t="array" ref="A6:A13">_xlfn._xlws.FILTER(_xlfn.CHOOSECOLS((_xlfn._xlws.SORT(tab_projetos[[nome_projeto]:[complexidade]],3,1)),1),(tab_projetos[nome_squad]="Echo BR"))</f>
        <v>SISTEMATIZACAO DO FRETE AVULSO (FRETE 2)</v>
      </c>
      <c r="B6" s="26"/>
      <c r="C6" s="21" cm="1">
        <f t="array" ref="C6:F13">_xlfn._xlws.FILTER(_xlfn.CHOOSECOLS((_xlfn._xlws.SORT(tab_projetos[[nome_projeto]:[complexidade]],3,1)),4,5,6,7),(tab_projetos[nome_squad]="Echo BR"))</f>
        <v>0</v>
      </c>
      <c r="D6" s="22" t="str">
        <v>Melhoria de Processo</v>
      </c>
      <c r="E6" s="22" t="str">
        <v>Evolução, Melhoria ou Adequação</v>
      </c>
      <c r="F6" s="22" t="str">
        <v>Alta</v>
      </c>
      <c r="G6" s="42" t="str" cm="1">
        <f t="array" ref="G6">+IFERROR(_xlfn.CONCAT(_xlfn.UNIQUE(_xlfn._xlws.FILTER(G$19:G$1010,(($A$19:$A$1010=$A6)*(G$19:G$1010&lt;&gt;0)*(G$19:G$1010&lt;&gt;"F"))))),"")</f>
        <v/>
      </c>
      <c r="H6" s="43" t="str" cm="1">
        <f t="array" ref="H6">+IFERROR(_xlfn.CONCAT(_xlfn.UNIQUE(_xlfn._xlws.FILTER(H$19:H$1010,(($A$19:$A$1010=$A6)*(H$19:H$1010&lt;&gt;0)*(H$19:H$1010&lt;&gt;"F"))))),"")</f>
        <v/>
      </c>
      <c r="I6" s="43" t="str" cm="1">
        <f t="array" ref="I6">+IFERROR(_xlfn.CONCAT(_xlfn.UNIQUE(_xlfn._xlws.FILTER(I$19:I$1010,(($A$19:$A$1010=$A6)*(I$19:I$1010&lt;&gt;0)*(I$19:I$1010&lt;&gt;"F"))))),"")</f>
        <v/>
      </c>
      <c r="J6" s="43" t="str" cm="1">
        <f t="array" ref="J6">+IFERROR(_xlfn.CONCAT(_xlfn.UNIQUE(_xlfn._xlws.FILTER(J$19:J$1010,(($A$19:$A$1010=$A6)*(J$19:J$1010&lt;&gt;0)*(J$19:J$1010&lt;&gt;"F"))))),"")</f>
        <v/>
      </c>
      <c r="K6" s="44" t="str" cm="1">
        <f t="array" ref="K6">+IFERROR(_xlfn.CONCAT(_xlfn.UNIQUE(_xlfn._xlws.FILTER(K$19:K$1010,(($A$19:$A$1010=$A6)*(K$19:K$1010&lt;&gt;0)*(K$19:K$1010&lt;&gt;"F"))))),"")</f>
        <v/>
      </c>
      <c r="L6" s="42" t="str" cm="1">
        <f t="array" ref="L6">+IFERROR(_xlfn.CONCAT(_xlfn.UNIQUE(_xlfn._xlws.FILTER(L$19:L$1010,(($A$19:$A$1010=$A6)*(L$19:L$1010&lt;&gt;0)*(L$19:L$1010&lt;&gt;"F"))))),"")</f>
        <v/>
      </c>
      <c r="M6" s="43" t="str" cm="1">
        <f t="array" ref="M6">+IFERROR(_xlfn.CONCAT(_xlfn.UNIQUE(_xlfn._xlws.FILTER(M$19:M$1010,(($A$19:$A$1010=$A6)*(M$19:M$1010&lt;&gt;0)*(M$19:M$1010&lt;&gt;"F"))))),"")</f>
        <v/>
      </c>
      <c r="N6" s="43" t="str" cm="1">
        <f t="array" ref="N6">+IFERROR(_xlfn.CONCAT(_xlfn.UNIQUE(_xlfn._xlws.FILTER(N$19:N$1010,(($A$19:$A$1010=$A6)*(N$19:N$1010&lt;&gt;0)*(N$19:N$1010&lt;&gt;"F"))))),"")</f>
        <v/>
      </c>
      <c r="O6" s="44" t="str" cm="1">
        <f t="array" ref="O6">+IFERROR(_xlfn.CONCAT(_xlfn.UNIQUE(_xlfn._xlws.FILTER(O$19:O$1010,(($A$19:$A$1010=$A6)*(O$19:O$1010&lt;&gt;0)*(O$19:O$1010&lt;&gt;"F"))))),"")</f>
        <v/>
      </c>
      <c r="P6" s="42" t="str" cm="1">
        <f t="array" ref="P6">+IFERROR(_xlfn.CONCAT(_xlfn.UNIQUE(_xlfn._xlws.FILTER(P$19:P$1010,(($A$19:$A$1010=$A6)*(P$19:P$1010&lt;&gt;0)*(P$19:P$1010&lt;&gt;"F"))))),"")</f>
        <v/>
      </c>
      <c r="Q6" s="43" t="str" cm="1">
        <f t="array" ref="Q6">+IFERROR(_xlfn.CONCAT(_xlfn.UNIQUE(_xlfn._xlws.FILTER(Q$19:Q$1010,(($A$19:$A$1010=$A6)*(Q$19:Q$1010&lt;&gt;0)*(Q$19:Q$1010&lt;&gt;"F"))))),"")</f>
        <v/>
      </c>
      <c r="R6" s="43" t="str" cm="1">
        <f t="array" ref="R6">+IFERROR(_xlfn.CONCAT(_xlfn.UNIQUE(_xlfn._xlws.FILTER(R$19:R$1010,(($A$19:$A$1010=$A6)*(R$19:R$1010&lt;&gt;0)*(R$19:R$1010&lt;&gt;"F"))))),"")</f>
        <v/>
      </c>
      <c r="S6" s="44" t="str" cm="1">
        <f t="array" ref="S6">+IFERROR(_xlfn.CONCAT(_xlfn.UNIQUE(_xlfn._xlws.FILTER(S$19:S$1010,(($A$19:$A$1010=$A6)*(S$19:S$1010&lt;&gt;0)*(S$19:S$1010&lt;&gt;"F"))))),"")</f>
        <v/>
      </c>
      <c r="T6" s="42" t="str" cm="1">
        <f t="array" ref="T6">+IFERROR(_xlfn.CONCAT(_xlfn.UNIQUE(_xlfn._xlws.FILTER(T$19:T$1010,(($A$19:$A$1010=$A6)*(T$19:T$1010&lt;&gt;0)*(T$19:T$1010&lt;&gt;"F"))))),"")</f>
        <v/>
      </c>
      <c r="U6" s="43" t="str" cm="1">
        <f t="array" ref="U6">+IFERROR(_xlfn.CONCAT(_xlfn.UNIQUE(_xlfn._xlws.FILTER(U$19:U$1010,(($A$19:$A$1010=$A6)*(U$19:U$1010&lt;&gt;0)*(U$19:U$1010&lt;&gt;"F"))))),"")</f>
        <v/>
      </c>
      <c r="V6" s="43" t="str" cm="1">
        <f t="array" ref="V6">+IFERROR(_xlfn.CONCAT(_xlfn.UNIQUE(_xlfn._xlws.FILTER(V$19:V$1010,(($A$19:$A$1010=$A6)*(V$19:V$1010&lt;&gt;0)*(V$19:V$1010&lt;&gt;"F"))))),"")</f>
        <v/>
      </c>
      <c r="W6" s="43" t="str" cm="1">
        <f t="array" ref="W6">+IFERROR(_xlfn.CONCAT(_xlfn.UNIQUE(_xlfn._xlws.FILTER(W$19:W$1010,(($A$19:$A$1010=$A6)*(W$19:W$1010&lt;&gt;0)*(W$19:W$1010&lt;&gt;"F"))))),"")</f>
        <v/>
      </c>
      <c r="X6" s="44" t="str" cm="1">
        <f t="array" ref="X6">+IFERROR(_xlfn.CONCAT(_xlfn.UNIQUE(_xlfn._xlws.FILTER(X$19:X$1010,(($A$19:$A$1010=$A6)*(X$19:X$1010&lt;&gt;0)*(X$19:X$1010&lt;&gt;"F"))))),"")</f>
        <v/>
      </c>
      <c r="Y6" s="42" t="str" cm="1">
        <f t="array" ref="Y6">+IFERROR(_xlfn.CONCAT(_xlfn.UNIQUE(_xlfn._xlws.FILTER(Y$19:Y$1010,(($A$19:$A$1010=$A6)*(Y$19:Y$1010&lt;&gt;0)*(Y$19:Y$1010&lt;&gt;"F"))))),"")</f>
        <v/>
      </c>
      <c r="Z6" s="43" t="str" cm="1">
        <f t="array" ref="Z6">+IFERROR(_xlfn.CONCAT(_xlfn.UNIQUE(_xlfn._xlws.FILTER(Z$19:Z$1010,(($A$19:$A$1010=$A6)*(Z$19:Z$1010&lt;&gt;0)*(Z$19:Z$1010&lt;&gt;"F"))))),"")</f>
        <v/>
      </c>
      <c r="AA6" s="43" t="str" cm="1">
        <f t="array" ref="AA6">+IFERROR(_xlfn.CONCAT(_xlfn.UNIQUE(_xlfn._xlws.FILTER(AA$19:AA$1010,(($A$19:$A$1010=$A6)*(AA$19:AA$1010&lt;&gt;0)*(AA$19:AA$1010&lt;&gt;"F"))))),"")</f>
        <v/>
      </c>
      <c r="AB6" s="44" t="str" cm="1">
        <f t="array" ref="AB6">+IFERROR(_xlfn.CONCAT(_xlfn.UNIQUE(_xlfn._xlws.FILTER(AB$19:AB$1010,(($A$19:$A$1010=$A6)*(AB$19:AB$1010&lt;&gt;0)*(AB$19:AB$1010&lt;&gt;"F"))))),"")</f>
        <v/>
      </c>
      <c r="AC6" s="42" t="str" cm="1">
        <f t="array" ref="AC6">+IFERROR(_xlfn.CONCAT(_xlfn.UNIQUE(_xlfn._xlws.FILTER(AC$19:AC$1010,(($A$19:$A$1010=$A6)*(AC$19:AC$1010&lt;&gt;0)*(AC$19:AC$1010&lt;&gt;"F"))))),"")</f>
        <v/>
      </c>
      <c r="AD6" s="43" t="str" cm="1">
        <f t="array" ref="AD6">+IFERROR(_xlfn.CONCAT(_xlfn.UNIQUE(_xlfn._xlws.FILTER(AD$19:AD$1010,(($A$19:$A$1010=$A6)*(AD$19:AD$1010&lt;&gt;0)*(AD$19:AD$1010&lt;&gt;"F"))))),"")</f>
        <v/>
      </c>
      <c r="AE6" s="43" t="str" cm="1">
        <f t="array" ref="AE6">+IFERROR(_xlfn.CONCAT(_xlfn.UNIQUE(_xlfn._xlws.FILTER(AE$19:AE$1010,(($A$19:$A$1010=$A6)*(AE$19:AE$1010&lt;&gt;0)*(AE$19:AE$1010&lt;&gt;"F"))))),"")</f>
        <v/>
      </c>
      <c r="AF6" s="44" t="str" cm="1">
        <f t="array" ref="AF6">+IFERROR(_xlfn.CONCAT(_xlfn.UNIQUE(_xlfn._xlws.FILTER(AF$19:AF$1010,(($A$19:$A$1010=$A6)*(AF$19:AF$1010&lt;&gt;0)*(AF$19:AF$1010&lt;&gt;"F"))))),"")</f>
        <v/>
      </c>
      <c r="AG6" s="42" t="str" cm="1">
        <f t="array" ref="AG6">+IFERROR(_xlfn.CONCAT(_xlfn.UNIQUE(_xlfn._xlws.FILTER(AG$19:AG$1010,(($A$19:$A$1010=$A6)*(AG$19:AG$1010&lt;&gt;0)*(AG$19:AG$1010&lt;&gt;"F"))))),"")</f>
        <v/>
      </c>
      <c r="AH6" s="43" t="str" cm="1">
        <f t="array" ref="AH6">+IFERROR(_xlfn.CONCAT(_xlfn.UNIQUE(_xlfn._xlws.FILTER(AH$19:AH$1010,(($A$19:$A$1010=$A6)*(AH$19:AH$1010&lt;&gt;0)*(AH$19:AH$1010&lt;&gt;"F"))))),"")</f>
        <v/>
      </c>
      <c r="AI6" s="43" t="str" cm="1">
        <f t="array" ref="AI6">+IFERROR(_xlfn.CONCAT(_xlfn.UNIQUE(_xlfn._xlws.FILTER(AI$19:AI$1010,(($A$19:$A$1010=$A6)*(AI$19:AI$1010&lt;&gt;0)*(AI$19:AI$1010&lt;&gt;"F"))))),"")</f>
        <v/>
      </c>
      <c r="AJ6" s="43" t="str" cm="1">
        <f t="array" ref="AJ6">+IFERROR(_xlfn.CONCAT(_xlfn.UNIQUE(_xlfn._xlws.FILTER(AJ$19:AJ$1010,(($A$19:$A$1010=$A6)*(AJ$19:AJ$1010&lt;&gt;0)*(AJ$19:AJ$1010&lt;&gt;"F"))))),"")</f>
        <v/>
      </c>
      <c r="AK6" s="44" t="str" cm="1">
        <f t="array" ref="AK6">+IFERROR(_xlfn.CONCAT(_xlfn.UNIQUE(_xlfn._xlws.FILTER(AK$19:AK$1010,(($A$19:$A$1010=$A6)*(AK$19:AK$1010&lt;&gt;0)*(AK$19:AK$1010&lt;&gt;"F"))))),"")</f>
        <v/>
      </c>
      <c r="AL6" s="42" t="str" cm="1">
        <f t="array" ref="AL6">+IFERROR(_xlfn.CONCAT(_xlfn.UNIQUE(_xlfn._xlws.FILTER(AL$19:AL$1010,(($A$19:$A$1010=$A6)*(AL$19:AL$1010&lt;&gt;0)*(AL$19:AL$1010&lt;&gt;"F"))))),"")</f>
        <v/>
      </c>
      <c r="AM6" s="43" t="str" cm="1">
        <f t="array" ref="AM6">+IFERROR(_xlfn.CONCAT(_xlfn.UNIQUE(_xlfn._xlws.FILTER(AM$19:AM$1010,(($A$19:$A$1010=$A6)*(AM$19:AM$1010&lt;&gt;0)*(AM$19:AM$1010&lt;&gt;"F"))))),"")</f>
        <v/>
      </c>
      <c r="AN6" s="43" t="str" cm="1">
        <f t="array" ref="AN6">+IFERROR(_xlfn.CONCAT(_xlfn.UNIQUE(_xlfn._xlws.FILTER(AN$19:AN$1010,(($A$19:$A$1010=$A6)*(AN$19:AN$1010&lt;&gt;0)*(AN$19:AN$1010&lt;&gt;"F"))))),"")</f>
        <v/>
      </c>
      <c r="AO6" s="44" t="str" cm="1">
        <f t="array" ref="AO6">+IFERROR(_xlfn.CONCAT(_xlfn.UNIQUE(_xlfn._xlws.FILTER(AO$19:AO$1010,(($A$19:$A$1010=$A6)*(AO$19:AO$1010&lt;&gt;0)*(AO$19:AO$1010&lt;&gt;"F"))))),"")</f>
        <v/>
      </c>
      <c r="AP6" s="42" t="str" cm="1">
        <f t="array" ref="AP6">+IFERROR(_xlfn.CONCAT(_xlfn.UNIQUE(_xlfn._xlws.FILTER(AP$19:AP$1010,(($A$19:$A$1010=$A6)*(AP$19:AP$1010&lt;&gt;0)*(AP$19:AP$1010&lt;&gt;"F"))))),"")</f>
        <v/>
      </c>
      <c r="AQ6" s="43" t="str" cm="1">
        <f t="array" ref="AQ6">+IFERROR(_xlfn.CONCAT(_xlfn.UNIQUE(_xlfn._xlws.FILTER(AQ$19:AQ$1010,(($A$19:$A$1010=$A6)*(AQ$19:AQ$1010&lt;&gt;0)*(AQ$19:AQ$1010&lt;&gt;"F"))))),"")</f>
        <v/>
      </c>
      <c r="AR6" s="43" t="str" cm="1">
        <f t="array" ref="AR6">+IFERROR(_xlfn.CONCAT(_xlfn.UNIQUE(_xlfn._xlws.FILTER(AR$19:AR$1010,(($A$19:$A$1010=$A6)*(AR$19:AR$1010&lt;&gt;0)*(AR$19:AR$1010&lt;&gt;"F"))))),"")</f>
        <v/>
      </c>
      <c r="AS6" s="44" t="str" cm="1">
        <f t="array" ref="AS6">+IFERROR(_xlfn.CONCAT(_xlfn.UNIQUE(_xlfn._xlws.FILTER(AS$19:AS$1010,(($A$19:$A$1010=$A6)*(AS$19:AS$1010&lt;&gt;0)*(AS$19:AS$1010&lt;&gt;"F"))))),"")</f>
        <v/>
      </c>
      <c r="AT6" s="42" t="str" cm="1">
        <f t="array" ref="AT6">+IFERROR(_xlfn.CONCAT(_xlfn.UNIQUE(_xlfn._xlws.FILTER(AT$19:AT$1010,(($A$19:$A$1010=$A6)*(AT$19:AT$1010&lt;&gt;0)*(AT$19:AT$1010&lt;&gt;"F"))))),"")</f>
        <v/>
      </c>
      <c r="AU6" s="43" t="str" cm="1">
        <f t="array" ref="AU6">+IFERROR(_xlfn.CONCAT(_xlfn.UNIQUE(_xlfn._xlws.FILTER(AU$19:AU$1010,(($A$19:$A$1010=$A6)*(AU$19:AU$1010&lt;&gt;0)*(AU$19:AU$1010&lt;&gt;"F"))))),"")</f>
        <v/>
      </c>
      <c r="AV6" s="43" t="str" cm="1">
        <f t="array" ref="AV6">+IFERROR(_xlfn.CONCAT(_xlfn.UNIQUE(_xlfn._xlws.FILTER(AV$19:AV$1010,(($A$19:$A$1010=$A6)*(AV$19:AV$1010&lt;&gt;0)*(AV$19:AV$1010&lt;&gt;"F"))))),"")</f>
        <v/>
      </c>
      <c r="AW6" s="43" t="str" cm="1">
        <f t="array" ref="AW6">+IFERROR(_xlfn.CONCAT(_xlfn.UNIQUE(_xlfn._xlws.FILTER(AW$19:AW$1010,(($A$19:$A$1010=$A6)*(AW$19:AW$1010&lt;&gt;0)*(AW$19:AW$1010&lt;&gt;"F"))))),"")</f>
        <v/>
      </c>
      <c r="AX6" s="44" t="str" cm="1">
        <f t="array" ref="AX6">+IFERROR(_xlfn.CONCAT(_xlfn.UNIQUE(_xlfn._xlws.FILTER(AX$19:AX$1010,(($A$19:$A$1010=$A6)*(AX$19:AX$1010&lt;&gt;0)*(AX$19:AX$1010&lt;&gt;"F"))))),"")</f>
        <v/>
      </c>
      <c r="AY6" s="42" t="str" cm="1">
        <f t="array" ref="AY6">+IFERROR(_xlfn.CONCAT(_xlfn.UNIQUE(_xlfn._xlws.FILTER(AY$19:AY$1010,(($A$19:$A$1010=$A6)*(AY$19:AY$1010&lt;&gt;0)*(AY$19:AY$1010&lt;&gt;"F"))))),"")</f>
        <v/>
      </c>
      <c r="AZ6" s="43" t="str" cm="1">
        <f t="array" ref="AZ6">+IFERROR(_xlfn.CONCAT(_xlfn.UNIQUE(_xlfn._xlws.FILTER(AZ$19:AZ$1010,(($A$19:$A$1010=$A6)*(AZ$19:AZ$1010&lt;&gt;0)*(AZ$19:AZ$1010&lt;&gt;"F"))))),"")</f>
        <v/>
      </c>
      <c r="BA6" s="43" t="str" cm="1">
        <f t="array" ref="BA6">+IFERROR(_xlfn.CONCAT(_xlfn.UNIQUE(_xlfn._xlws.FILTER(BA$19:BA$1010,(($A$19:$A$1010=$A6)*(BA$19:BA$1010&lt;&gt;0)*(BA$19:BA$1010&lt;&gt;"F"))))),"")</f>
        <v/>
      </c>
      <c r="BB6" s="44" t="str" cm="1">
        <f t="array" ref="BB6">+IFERROR(_xlfn.CONCAT(_xlfn.UNIQUE(_xlfn._xlws.FILTER(BB$19:BB$1010,(($A$19:$A$1010=$A6)*(BB$19:BB$1010&lt;&gt;0)*(BB$19:BB$1010&lt;&gt;"F"))))),"")</f>
        <v/>
      </c>
      <c r="BC6" s="42" t="str" cm="1">
        <f t="array" ref="BC6">+IFERROR(_xlfn.CONCAT(_xlfn.UNIQUE(_xlfn._xlws.FILTER(BC$19:BC$1010,(($A$19:$A$1010=$A6)*(BC$19:BC$1010&lt;&gt;0)*(BC$19:BC$1010&lt;&gt;"F"))))),"")</f>
        <v/>
      </c>
      <c r="BD6" s="43" t="str" cm="1">
        <f t="array" ref="BD6">+IFERROR(_xlfn.CONCAT(_xlfn.UNIQUE(_xlfn._xlws.FILTER(BD$19:BD$1010,(($A$19:$A$1010=$A6)*(BD$19:BD$1010&lt;&gt;0)*(BD$19:BD$1010&lt;&gt;"F"))))),"")</f>
        <v/>
      </c>
      <c r="BE6" s="43" t="str" cm="1">
        <f t="array" ref="BE6">+IFERROR(_xlfn.CONCAT(_xlfn.UNIQUE(_xlfn._xlws.FILTER(BE$19:BE$1010,(($A$19:$A$1010=$A6)*(BE$19:BE$1010&lt;&gt;0)*(BE$19:BE$1010&lt;&gt;"F"))))),"")</f>
        <v/>
      </c>
      <c r="BF6" s="44" t="str" cm="1">
        <f t="array" ref="BF6">+IFERROR(_xlfn.CONCAT(_xlfn.UNIQUE(_xlfn._xlws.FILTER(BF$19:BF$1010,(($A$19:$A$1010=$A6)*(BF$19:BF$1010&lt;&gt;0)*(BF$19:BF$1010&lt;&gt;"F"))))),"")</f>
        <v/>
      </c>
      <c r="BG6" s="42" t="str" cm="1">
        <f t="array" ref="BG6">+IFERROR(_xlfn.CONCAT(_xlfn.UNIQUE(_xlfn._xlws.FILTER(BG$19:BG$1010,(($A$19:$A$1010=$A6)*(BG$19:BG$1010&lt;&gt;0)*(BG$19:BG$1010&lt;&gt;"F"))))),"")</f>
        <v/>
      </c>
      <c r="BH6" s="43" t="str" cm="1">
        <f t="array" ref="BH6">+IFERROR(_xlfn.CONCAT(_xlfn.UNIQUE(_xlfn._xlws.FILTER(BH$19:BH$1010,(($A$19:$A$1010=$A6)*(BH$19:BH$1010&lt;&gt;0)*(BH$19:BH$1010&lt;&gt;"F"))))),"")</f>
        <v/>
      </c>
      <c r="BI6" s="43" t="str" cm="1">
        <f t="array" ref="BI6">+IFERROR(_xlfn.CONCAT(_xlfn.UNIQUE(_xlfn._xlws.FILTER(BI$19:BI$1010,(($A$19:$A$1010=$A6)*(BI$19:BI$1010&lt;&gt;0)*(BI$19:BI$1010&lt;&gt;"F"))))),"")</f>
        <v/>
      </c>
      <c r="BJ6" s="43" t="str" cm="1">
        <f t="array" ref="BJ6">+IFERROR(_xlfn.CONCAT(_xlfn.UNIQUE(_xlfn._xlws.FILTER(BJ$19:BJ$1010,(($A$19:$A$1010=$A6)*(BJ$19:BJ$1010&lt;&gt;0)*(BJ$19:BJ$1010&lt;&gt;"F"))))),"")</f>
        <v/>
      </c>
      <c r="BK6" s="44" t="str" cm="1">
        <f t="array" ref="BK6">+IFERROR(_xlfn.CONCAT(_xlfn.UNIQUE(_xlfn._xlws.FILTER(BK$19:BK$1010,(($A$19:$A$1010=$A6)*(BK$19:BK$1010&lt;&gt;0)*(BK$19:BK$1010&lt;&gt;"F"))))),"")</f>
        <v/>
      </c>
      <c r="BL6" s="42" t="str" cm="1">
        <f t="array" ref="BL6">+IFERROR(_xlfn.CONCAT(_xlfn.UNIQUE(_xlfn._xlws.FILTER(BL$19:BL$1010,(($A$19:$A$1010=$A6)*(BL$19:BL$1010&lt;&gt;0)*(BL$19:BL$1010&lt;&gt;"F"))))),"")</f>
        <v/>
      </c>
      <c r="BM6" s="43" t="str" cm="1">
        <f t="array" ref="BM6">+IFERROR(_xlfn.CONCAT(_xlfn.UNIQUE(_xlfn._xlws.FILTER(BM$19:BM$1010,(($A$19:$A$1010=$A6)*(BM$19:BM$1010&lt;&gt;0)*(BM$19:BM$1010&lt;&gt;"F"))))),"")</f>
        <v/>
      </c>
      <c r="BN6" s="43" t="str" cm="1">
        <f t="array" ref="BN6">+IFERROR(_xlfn.CONCAT(_xlfn.UNIQUE(_xlfn._xlws.FILTER(BN$19:BN$1010,(($A$19:$A$1010=$A6)*(BN$19:BN$1010&lt;&gt;0)*(BN$19:BN$1010&lt;&gt;"F"))))),"")</f>
        <v/>
      </c>
      <c r="BO6" s="44" t="str" cm="1">
        <f t="array" ref="BO6">+IFERROR(_xlfn.CONCAT(_xlfn.UNIQUE(_xlfn._xlws.FILTER(BO$19:BO$1010,(($A$19:$A$1010=$A6)*(BO$19:BO$1010&lt;&gt;0)*(BO$19:BO$1010&lt;&gt;"F"))))),"")</f>
        <v/>
      </c>
      <c r="BP6" s="42" t="str" cm="1">
        <f t="array" ref="BP6">+IFERROR(_xlfn.CONCAT(_xlfn.UNIQUE(_xlfn._xlws.FILTER(BP$19:BP$1010,(($A$19:$A$1010=$A6)*(BP$19:BP$1010&lt;&gt;0)*(BP$19:BP$1010&lt;&gt;"F"))))),"")</f>
        <v/>
      </c>
      <c r="BQ6" s="43" t="str" cm="1">
        <f t="array" ref="BQ6">+IFERROR(_xlfn.CONCAT(_xlfn.UNIQUE(_xlfn._xlws.FILTER(BQ$19:BQ$1010,(($A$19:$A$1010=$A6)*(BQ$19:BQ$1010&lt;&gt;0)*(BQ$19:BQ$1010&lt;&gt;"F"))))),"")</f>
        <v/>
      </c>
      <c r="BR6" s="43" t="str" cm="1">
        <f t="array" ref="BR6">+IFERROR(_xlfn.CONCAT(_xlfn.UNIQUE(_xlfn._xlws.FILTER(BR$19:BR$1010,(($A$19:$A$1010=$A6)*(BR$19:BR$1010&lt;&gt;0)*(BR$19:BR$1010&lt;&gt;"F"))))),"")</f>
        <v/>
      </c>
      <c r="BS6" s="44" t="str" cm="1">
        <f t="array" ref="BS6">+IFERROR(_xlfn.CONCAT(_xlfn.UNIQUE(_xlfn._xlws.FILTER(BS$19:BS$1010,(($A$19:$A$1010=$A6)*(BS$19:BS$1010&lt;&gt;0)*(BS$19:BS$1010&lt;&gt;"F"))))),"")</f>
        <v/>
      </c>
    </row>
    <row r="7" spans="1:71" s="13" customFormat="1" ht="39.9" customHeight="1" x14ac:dyDescent="0.3">
      <c r="A7" s="57" t="str">
        <v>OCORRENCIAS POSTERGADAS</v>
      </c>
      <c r="B7" s="27"/>
      <c r="C7" s="28">
        <v>0</v>
      </c>
      <c r="D7" s="29" t="str">
        <v>Melhoria de Processo</v>
      </c>
      <c r="E7" s="29" t="str">
        <v>Evolução, Melhoria ou Adequação</v>
      </c>
      <c r="F7" s="29" t="str">
        <v>Alta</v>
      </c>
      <c r="G7" s="45" t="str" cm="1">
        <f t="array" ref="G7">+IFERROR(_xlfn.CONCAT(_xlfn.UNIQUE(_xlfn._xlws.FILTER(G$19:G$1010,(($A$19:$A$1010=$A7)*(G$19:G$1010&lt;&gt;0)*(G$19:G$1010&lt;&gt;"F"))))),"")</f>
        <v/>
      </c>
      <c r="H7" s="46" t="str" cm="1">
        <f t="array" ref="H7">+IFERROR(_xlfn.CONCAT(_xlfn.UNIQUE(_xlfn._xlws.FILTER(H$19:H$1010,(($A$19:$A$1010=$A7)*(H$19:H$1010&lt;&gt;0)*(H$19:H$1010&lt;&gt;"F"))))),"")</f>
        <v/>
      </c>
      <c r="I7" s="46" t="str" cm="1">
        <f t="array" ref="I7">+IFERROR(_xlfn.CONCAT(_xlfn.UNIQUE(_xlfn._xlws.FILTER(I$19:I$1010,(($A$19:$A$1010=$A7)*(I$19:I$1010&lt;&gt;0)*(I$19:I$1010&lt;&gt;"F"))))),"")</f>
        <v/>
      </c>
      <c r="J7" s="46" t="str" cm="1">
        <f t="array" ref="J7">+IFERROR(_xlfn.CONCAT(_xlfn.UNIQUE(_xlfn._xlws.FILTER(J$19:J$1010,(($A$19:$A$1010=$A7)*(J$19:J$1010&lt;&gt;0)*(J$19:J$1010&lt;&gt;"F"))))),"")</f>
        <v/>
      </c>
      <c r="K7" s="47" t="str" cm="1">
        <f t="array" ref="K7">+IFERROR(_xlfn.CONCAT(_xlfn.UNIQUE(_xlfn._xlws.FILTER(K$19:K$1010,(($A$19:$A$1010=$A7)*(K$19:K$1010&lt;&gt;0)*(K$19:K$1010&lt;&gt;"F"))))),"")</f>
        <v/>
      </c>
      <c r="L7" s="45" t="str" cm="1">
        <f t="array" ref="L7">+IFERROR(_xlfn.CONCAT(_xlfn.UNIQUE(_xlfn._xlws.FILTER(L$19:L$1010,(($A$19:$A$1010=$A7)*(L$19:L$1010&lt;&gt;0)*(L$19:L$1010&lt;&gt;"F"))))),"")</f>
        <v/>
      </c>
      <c r="M7" s="46" t="str" cm="1">
        <f t="array" ref="M7">+IFERROR(_xlfn.CONCAT(_xlfn.UNIQUE(_xlfn._xlws.FILTER(M$19:M$1010,(($A$19:$A$1010=$A7)*(M$19:M$1010&lt;&gt;0)*(M$19:M$1010&lt;&gt;"F"))))),"")</f>
        <v/>
      </c>
      <c r="N7" s="46" t="str" cm="1">
        <f t="array" ref="N7">+IFERROR(_xlfn.CONCAT(_xlfn.UNIQUE(_xlfn._xlws.FILTER(N$19:N$1010,(($A$19:$A$1010=$A7)*(N$19:N$1010&lt;&gt;0)*(N$19:N$1010&lt;&gt;"F"))))),"")</f>
        <v/>
      </c>
      <c r="O7" s="47" t="str" cm="1">
        <f t="array" ref="O7">+IFERROR(_xlfn.CONCAT(_xlfn.UNIQUE(_xlfn._xlws.FILTER(O$19:O$1010,(($A$19:$A$1010=$A7)*(O$19:O$1010&lt;&gt;0)*(O$19:O$1010&lt;&gt;"F"))))),"")</f>
        <v/>
      </c>
      <c r="P7" s="45" t="str" cm="1">
        <f t="array" ref="P7">+IFERROR(_xlfn.CONCAT(_xlfn.UNIQUE(_xlfn._xlws.FILTER(P$19:P$1010,(($A$19:$A$1010=$A7)*(P$19:P$1010&lt;&gt;0)*(P$19:P$1010&lt;&gt;"F"))))),"")</f>
        <v/>
      </c>
      <c r="Q7" s="46" t="str" cm="1">
        <f t="array" ref="Q7">+IFERROR(_xlfn.CONCAT(_xlfn.UNIQUE(_xlfn._xlws.FILTER(Q$19:Q$1010,(($A$19:$A$1010=$A7)*(Q$19:Q$1010&lt;&gt;0)*(Q$19:Q$1010&lt;&gt;"F"))))),"")</f>
        <v/>
      </c>
      <c r="R7" s="46" t="str" cm="1">
        <f t="array" ref="R7">+IFERROR(_xlfn.CONCAT(_xlfn.UNIQUE(_xlfn._xlws.FILTER(R$19:R$1010,(($A$19:$A$1010=$A7)*(R$19:R$1010&lt;&gt;0)*(R$19:R$1010&lt;&gt;"F"))))),"")</f>
        <v/>
      </c>
      <c r="S7" s="47" t="str" cm="1">
        <f t="array" ref="S7">+IFERROR(_xlfn.CONCAT(_xlfn.UNIQUE(_xlfn._xlws.FILTER(S$19:S$1010,(($A$19:$A$1010=$A7)*(S$19:S$1010&lt;&gt;0)*(S$19:S$1010&lt;&gt;"F"))))),"")</f>
        <v/>
      </c>
      <c r="T7" s="45" t="str" cm="1">
        <f t="array" ref="T7">+IFERROR(_xlfn.CONCAT(_xlfn.UNIQUE(_xlfn._xlws.FILTER(T$19:T$1010,(($A$19:$A$1010=$A7)*(T$19:T$1010&lt;&gt;0)*(T$19:T$1010&lt;&gt;"F"))))),"")</f>
        <v/>
      </c>
      <c r="U7" s="46" t="str" cm="1">
        <f t="array" ref="U7">+IFERROR(_xlfn.CONCAT(_xlfn.UNIQUE(_xlfn._xlws.FILTER(U$19:U$1010,(($A$19:$A$1010=$A7)*(U$19:U$1010&lt;&gt;0)*(U$19:U$1010&lt;&gt;"F"))))),"")</f>
        <v/>
      </c>
      <c r="V7" s="46" t="str" cm="1">
        <f t="array" ref="V7">+IFERROR(_xlfn.CONCAT(_xlfn.UNIQUE(_xlfn._xlws.FILTER(V$19:V$1010,(($A$19:$A$1010=$A7)*(V$19:V$1010&lt;&gt;0)*(V$19:V$1010&lt;&gt;"F"))))),"")</f>
        <v/>
      </c>
      <c r="W7" s="46" t="str" cm="1">
        <f t="array" ref="W7">+IFERROR(_xlfn.CONCAT(_xlfn.UNIQUE(_xlfn._xlws.FILTER(W$19:W$1010,(($A$19:$A$1010=$A7)*(W$19:W$1010&lt;&gt;0)*(W$19:W$1010&lt;&gt;"F"))))),"")</f>
        <v/>
      </c>
      <c r="X7" s="47" t="str" cm="1">
        <f t="array" ref="X7">+IFERROR(_xlfn.CONCAT(_xlfn.UNIQUE(_xlfn._xlws.FILTER(X$19:X$1010,(($A$19:$A$1010=$A7)*(X$19:X$1010&lt;&gt;0)*(X$19:X$1010&lt;&gt;"F"))))),"")</f>
        <v/>
      </c>
      <c r="Y7" s="45" t="str" cm="1">
        <f t="array" ref="Y7">+IFERROR(_xlfn.CONCAT(_xlfn.UNIQUE(_xlfn._xlws.FILTER(Y$19:Y$1010,(($A$19:$A$1010=$A7)*(Y$19:Y$1010&lt;&gt;0)*(Y$19:Y$1010&lt;&gt;"F"))))),"")</f>
        <v/>
      </c>
      <c r="Z7" s="46" t="str" cm="1">
        <f t="array" ref="Z7">+IFERROR(_xlfn.CONCAT(_xlfn.UNIQUE(_xlfn._xlws.FILTER(Z$19:Z$1010,(($A$19:$A$1010=$A7)*(Z$19:Z$1010&lt;&gt;0)*(Z$19:Z$1010&lt;&gt;"F"))))),"")</f>
        <v/>
      </c>
      <c r="AA7" s="46" t="str" cm="1">
        <f t="array" ref="AA7">+IFERROR(_xlfn.CONCAT(_xlfn.UNIQUE(_xlfn._xlws.FILTER(AA$19:AA$1010,(($A$19:$A$1010=$A7)*(AA$19:AA$1010&lt;&gt;0)*(AA$19:AA$1010&lt;&gt;"F"))))),"")</f>
        <v/>
      </c>
      <c r="AB7" s="47" t="str" cm="1">
        <f t="array" ref="AB7">+IFERROR(_xlfn.CONCAT(_xlfn.UNIQUE(_xlfn._xlws.FILTER(AB$19:AB$1010,(($A$19:$A$1010=$A7)*(AB$19:AB$1010&lt;&gt;0)*(AB$19:AB$1010&lt;&gt;"F"))))),"")</f>
        <v/>
      </c>
      <c r="AC7" s="45" t="str" cm="1">
        <f t="array" ref="AC7">+IFERROR(_xlfn.CONCAT(_xlfn.UNIQUE(_xlfn._xlws.FILTER(AC$19:AC$1010,(($A$19:$A$1010=$A7)*(AC$19:AC$1010&lt;&gt;0)*(AC$19:AC$1010&lt;&gt;"F"))))),"")</f>
        <v/>
      </c>
      <c r="AD7" s="46" t="str" cm="1">
        <f t="array" ref="AD7">+IFERROR(_xlfn.CONCAT(_xlfn.UNIQUE(_xlfn._xlws.FILTER(AD$19:AD$1010,(($A$19:$A$1010=$A7)*(AD$19:AD$1010&lt;&gt;0)*(AD$19:AD$1010&lt;&gt;"F"))))),"")</f>
        <v/>
      </c>
      <c r="AE7" s="46" t="str" cm="1">
        <f t="array" ref="AE7">+IFERROR(_xlfn.CONCAT(_xlfn.UNIQUE(_xlfn._xlws.FILTER(AE$19:AE$1010,(($A$19:$A$1010=$A7)*(AE$19:AE$1010&lt;&gt;0)*(AE$19:AE$1010&lt;&gt;"F"))))),"")</f>
        <v/>
      </c>
      <c r="AF7" s="47" t="str" cm="1">
        <f t="array" ref="AF7">+IFERROR(_xlfn.CONCAT(_xlfn.UNIQUE(_xlfn._xlws.FILTER(AF$19:AF$1010,(($A$19:$A$1010=$A7)*(AF$19:AF$1010&lt;&gt;0)*(AF$19:AF$1010&lt;&gt;"F"))))),"")</f>
        <v/>
      </c>
      <c r="AG7" s="45" t="str" cm="1">
        <f t="array" ref="AG7">+IFERROR(_xlfn.CONCAT(_xlfn.UNIQUE(_xlfn._xlws.FILTER(AG$19:AG$1010,(($A$19:$A$1010=$A7)*(AG$19:AG$1010&lt;&gt;0)*(AG$19:AG$1010&lt;&gt;"F"))))),"")</f>
        <v/>
      </c>
      <c r="AH7" s="46" t="str" cm="1">
        <f t="array" ref="AH7">+IFERROR(_xlfn.CONCAT(_xlfn.UNIQUE(_xlfn._xlws.FILTER(AH$19:AH$1010,(($A$19:$A$1010=$A7)*(AH$19:AH$1010&lt;&gt;0)*(AH$19:AH$1010&lt;&gt;"F"))))),"")</f>
        <v/>
      </c>
      <c r="AI7" s="46" t="str" cm="1">
        <f t="array" ref="AI7">+IFERROR(_xlfn.CONCAT(_xlfn.UNIQUE(_xlfn._xlws.FILTER(AI$19:AI$1010,(($A$19:$A$1010=$A7)*(AI$19:AI$1010&lt;&gt;0)*(AI$19:AI$1010&lt;&gt;"F"))))),"")</f>
        <v/>
      </c>
      <c r="AJ7" s="46" t="str" cm="1">
        <f t="array" ref="AJ7">+IFERROR(_xlfn.CONCAT(_xlfn.UNIQUE(_xlfn._xlws.FILTER(AJ$19:AJ$1010,(($A$19:$A$1010=$A7)*(AJ$19:AJ$1010&lt;&gt;0)*(AJ$19:AJ$1010&lt;&gt;"F"))))),"")</f>
        <v/>
      </c>
      <c r="AK7" s="47" t="str" cm="1">
        <f t="array" ref="AK7">+IFERROR(_xlfn.CONCAT(_xlfn.UNIQUE(_xlfn._xlws.FILTER(AK$19:AK$1010,(($A$19:$A$1010=$A7)*(AK$19:AK$1010&lt;&gt;0)*(AK$19:AK$1010&lt;&gt;"F"))))),"")</f>
        <v/>
      </c>
      <c r="AL7" s="45" t="str" cm="1">
        <f t="array" ref="AL7">+IFERROR(_xlfn.CONCAT(_xlfn.UNIQUE(_xlfn._xlws.FILTER(AL$19:AL$1010,(($A$19:$A$1010=$A7)*(AL$19:AL$1010&lt;&gt;0)*(AL$19:AL$1010&lt;&gt;"F"))))),"")</f>
        <v/>
      </c>
      <c r="AM7" s="46" t="str" cm="1">
        <f t="array" ref="AM7">+IFERROR(_xlfn.CONCAT(_xlfn.UNIQUE(_xlfn._xlws.FILTER(AM$19:AM$1010,(($A$19:$A$1010=$A7)*(AM$19:AM$1010&lt;&gt;0)*(AM$19:AM$1010&lt;&gt;"F"))))),"")</f>
        <v/>
      </c>
      <c r="AN7" s="46" t="str" cm="1">
        <f t="array" ref="AN7">+IFERROR(_xlfn.CONCAT(_xlfn.UNIQUE(_xlfn._xlws.FILTER(AN$19:AN$1010,(($A$19:$A$1010=$A7)*(AN$19:AN$1010&lt;&gt;0)*(AN$19:AN$1010&lt;&gt;"F"))))),"")</f>
        <v/>
      </c>
      <c r="AO7" s="47" t="str" cm="1">
        <f t="array" ref="AO7">+IFERROR(_xlfn.CONCAT(_xlfn.UNIQUE(_xlfn._xlws.FILTER(AO$19:AO$1010,(($A$19:$A$1010=$A7)*(AO$19:AO$1010&lt;&gt;0)*(AO$19:AO$1010&lt;&gt;"F"))))),"")</f>
        <v/>
      </c>
      <c r="AP7" s="45" t="str" cm="1">
        <f t="array" ref="AP7">+IFERROR(_xlfn.CONCAT(_xlfn.UNIQUE(_xlfn._xlws.FILTER(AP$19:AP$1010,(($A$19:$A$1010=$A7)*(AP$19:AP$1010&lt;&gt;0)*(AP$19:AP$1010&lt;&gt;"F"))))),"")</f>
        <v/>
      </c>
      <c r="AQ7" s="46" t="str" cm="1">
        <f t="array" ref="AQ7">+IFERROR(_xlfn.CONCAT(_xlfn.UNIQUE(_xlfn._xlws.FILTER(AQ$19:AQ$1010,(($A$19:$A$1010=$A7)*(AQ$19:AQ$1010&lt;&gt;0)*(AQ$19:AQ$1010&lt;&gt;"F"))))),"")</f>
        <v/>
      </c>
      <c r="AR7" s="46" t="str" cm="1">
        <f t="array" ref="AR7">+IFERROR(_xlfn.CONCAT(_xlfn.UNIQUE(_xlfn._xlws.FILTER(AR$19:AR$1010,(($A$19:$A$1010=$A7)*(AR$19:AR$1010&lt;&gt;0)*(AR$19:AR$1010&lt;&gt;"F"))))),"")</f>
        <v/>
      </c>
      <c r="AS7" s="47" t="str" cm="1">
        <f t="array" ref="AS7">+IFERROR(_xlfn.CONCAT(_xlfn.UNIQUE(_xlfn._xlws.FILTER(AS$19:AS$1010,(($A$19:$A$1010=$A7)*(AS$19:AS$1010&lt;&gt;0)*(AS$19:AS$1010&lt;&gt;"F"))))),"")</f>
        <v/>
      </c>
      <c r="AT7" s="45" t="str" cm="1">
        <f t="array" ref="AT7">+IFERROR(_xlfn.CONCAT(_xlfn.UNIQUE(_xlfn._xlws.FILTER(AT$19:AT$1010,(($A$19:$A$1010=$A7)*(AT$19:AT$1010&lt;&gt;0)*(AT$19:AT$1010&lt;&gt;"F"))))),"")</f>
        <v/>
      </c>
      <c r="AU7" s="46" t="str" cm="1">
        <f t="array" ref="AU7">+IFERROR(_xlfn.CONCAT(_xlfn.UNIQUE(_xlfn._xlws.FILTER(AU$19:AU$1010,(($A$19:$A$1010=$A7)*(AU$19:AU$1010&lt;&gt;0)*(AU$19:AU$1010&lt;&gt;"F"))))),"")</f>
        <v/>
      </c>
      <c r="AV7" s="46" t="str" cm="1">
        <f t="array" ref="AV7">+IFERROR(_xlfn.CONCAT(_xlfn.UNIQUE(_xlfn._xlws.FILTER(AV$19:AV$1010,(($A$19:$A$1010=$A7)*(AV$19:AV$1010&lt;&gt;0)*(AV$19:AV$1010&lt;&gt;"F"))))),"")</f>
        <v/>
      </c>
      <c r="AW7" s="46" t="str" cm="1">
        <f t="array" ref="AW7">+IFERROR(_xlfn.CONCAT(_xlfn.UNIQUE(_xlfn._xlws.FILTER(AW$19:AW$1010,(($A$19:$A$1010=$A7)*(AW$19:AW$1010&lt;&gt;0)*(AW$19:AW$1010&lt;&gt;"F"))))),"")</f>
        <v/>
      </c>
      <c r="AX7" s="47" t="str" cm="1">
        <f t="array" ref="AX7">+IFERROR(_xlfn.CONCAT(_xlfn.UNIQUE(_xlfn._xlws.FILTER(AX$19:AX$1010,(($A$19:$A$1010=$A7)*(AX$19:AX$1010&lt;&gt;0)*(AX$19:AX$1010&lt;&gt;"F"))))),"")</f>
        <v/>
      </c>
      <c r="AY7" s="45" t="str" cm="1">
        <f t="array" ref="AY7">+IFERROR(_xlfn.CONCAT(_xlfn.UNIQUE(_xlfn._xlws.FILTER(AY$19:AY$1010,(($A$19:$A$1010=$A7)*(AY$19:AY$1010&lt;&gt;0)*(AY$19:AY$1010&lt;&gt;"F"))))),"")</f>
        <v/>
      </c>
      <c r="AZ7" s="46" t="str" cm="1">
        <f t="array" ref="AZ7">+IFERROR(_xlfn.CONCAT(_xlfn.UNIQUE(_xlfn._xlws.FILTER(AZ$19:AZ$1010,(($A$19:$A$1010=$A7)*(AZ$19:AZ$1010&lt;&gt;0)*(AZ$19:AZ$1010&lt;&gt;"F"))))),"")</f>
        <v/>
      </c>
      <c r="BA7" s="46" t="str" cm="1">
        <f t="array" ref="BA7">+IFERROR(_xlfn.CONCAT(_xlfn.UNIQUE(_xlfn._xlws.FILTER(BA$19:BA$1010,(($A$19:$A$1010=$A7)*(BA$19:BA$1010&lt;&gt;0)*(BA$19:BA$1010&lt;&gt;"F"))))),"")</f>
        <v/>
      </c>
      <c r="BB7" s="47" t="str" cm="1">
        <f t="array" ref="BB7">+IFERROR(_xlfn.CONCAT(_xlfn.UNIQUE(_xlfn._xlws.FILTER(BB$19:BB$1010,(($A$19:$A$1010=$A7)*(BB$19:BB$1010&lt;&gt;0)*(BB$19:BB$1010&lt;&gt;"F"))))),"")</f>
        <v/>
      </c>
      <c r="BC7" s="45" t="str" cm="1">
        <f t="array" ref="BC7">+IFERROR(_xlfn.CONCAT(_xlfn.UNIQUE(_xlfn._xlws.FILTER(BC$19:BC$1010,(($A$19:$A$1010=$A7)*(BC$19:BC$1010&lt;&gt;0)*(BC$19:BC$1010&lt;&gt;"F"))))),"")</f>
        <v/>
      </c>
      <c r="BD7" s="46" t="str" cm="1">
        <f t="array" ref="BD7">+IFERROR(_xlfn.CONCAT(_xlfn.UNIQUE(_xlfn._xlws.FILTER(BD$19:BD$1010,(($A$19:$A$1010=$A7)*(BD$19:BD$1010&lt;&gt;0)*(BD$19:BD$1010&lt;&gt;"F"))))),"")</f>
        <v/>
      </c>
      <c r="BE7" s="46" t="str" cm="1">
        <f t="array" ref="BE7">+IFERROR(_xlfn.CONCAT(_xlfn.UNIQUE(_xlfn._xlws.FILTER(BE$19:BE$1010,(($A$19:$A$1010=$A7)*(BE$19:BE$1010&lt;&gt;0)*(BE$19:BE$1010&lt;&gt;"F"))))),"")</f>
        <v/>
      </c>
      <c r="BF7" s="47" t="str" cm="1">
        <f t="array" ref="BF7">+IFERROR(_xlfn.CONCAT(_xlfn.UNIQUE(_xlfn._xlws.FILTER(BF$19:BF$1010,(($A$19:$A$1010=$A7)*(BF$19:BF$1010&lt;&gt;0)*(BF$19:BF$1010&lt;&gt;"F"))))),"")</f>
        <v/>
      </c>
      <c r="BG7" s="45" t="str" cm="1">
        <f t="array" ref="BG7">+IFERROR(_xlfn.CONCAT(_xlfn.UNIQUE(_xlfn._xlws.FILTER(BG$19:BG$1010,(($A$19:$A$1010=$A7)*(BG$19:BG$1010&lt;&gt;0)*(BG$19:BG$1010&lt;&gt;"F"))))),"")</f>
        <v/>
      </c>
      <c r="BH7" s="46" t="str" cm="1">
        <f t="array" ref="BH7">+IFERROR(_xlfn.CONCAT(_xlfn.UNIQUE(_xlfn._xlws.FILTER(BH$19:BH$1010,(($A$19:$A$1010=$A7)*(BH$19:BH$1010&lt;&gt;0)*(BH$19:BH$1010&lt;&gt;"F"))))),"")</f>
        <v/>
      </c>
      <c r="BI7" s="46" t="str" cm="1">
        <f t="array" ref="BI7">+IFERROR(_xlfn.CONCAT(_xlfn.UNIQUE(_xlfn._xlws.FILTER(BI$19:BI$1010,(($A$19:$A$1010=$A7)*(BI$19:BI$1010&lt;&gt;0)*(BI$19:BI$1010&lt;&gt;"F"))))),"")</f>
        <v/>
      </c>
      <c r="BJ7" s="46" t="str" cm="1">
        <f t="array" ref="BJ7">+IFERROR(_xlfn.CONCAT(_xlfn.UNIQUE(_xlfn._xlws.FILTER(BJ$19:BJ$1010,(($A$19:$A$1010=$A7)*(BJ$19:BJ$1010&lt;&gt;0)*(BJ$19:BJ$1010&lt;&gt;"F"))))),"")</f>
        <v/>
      </c>
      <c r="BK7" s="47" t="str" cm="1">
        <f t="array" ref="BK7">+IFERROR(_xlfn.CONCAT(_xlfn.UNIQUE(_xlfn._xlws.FILTER(BK$19:BK$1010,(($A$19:$A$1010=$A7)*(BK$19:BK$1010&lt;&gt;0)*(BK$19:BK$1010&lt;&gt;"F"))))),"")</f>
        <v/>
      </c>
      <c r="BL7" s="45" t="str" cm="1">
        <f t="array" ref="BL7">+IFERROR(_xlfn.CONCAT(_xlfn.UNIQUE(_xlfn._xlws.FILTER(BL$19:BL$1010,(($A$19:$A$1010=$A7)*(BL$19:BL$1010&lt;&gt;0)*(BL$19:BL$1010&lt;&gt;"F"))))),"")</f>
        <v/>
      </c>
      <c r="BM7" s="46" t="str" cm="1">
        <f t="array" ref="BM7">+IFERROR(_xlfn.CONCAT(_xlfn.UNIQUE(_xlfn._xlws.FILTER(BM$19:BM$1010,(($A$19:$A$1010=$A7)*(BM$19:BM$1010&lt;&gt;0)*(BM$19:BM$1010&lt;&gt;"F"))))),"")</f>
        <v/>
      </c>
      <c r="BN7" s="46" t="str" cm="1">
        <f t="array" ref="BN7">+IFERROR(_xlfn.CONCAT(_xlfn.UNIQUE(_xlfn._xlws.FILTER(BN$19:BN$1010,(($A$19:$A$1010=$A7)*(BN$19:BN$1010&lt;&gt;0)*(BN$19:BN$1010&lt;&gt;"F"))))),"")</f>
        <v/>
      </c>
      <c r="BO7" s="47" t="str" cm="1">
        <f t="array" ref="BO7">+IFERROR(_xlfn.CONCAT(_xlfn.UNIQUE(_xlfn._xlws.FILTER(BO$19:BO$1010,(($A$19:$A$1010=$A7)*(BO$19:BO$1010&lt;&gt;0)*(BO$19:BO$1010&lt;&gt;"F"))))),"")</f>
        <v/>
      </c>
      <c r="BP7" s="45" t="str" cm="1">
        <f t="array" ref="BP7">+IFERROR(_xlfn.CONCAT(_xlfn.UNIQUE(_xlfn._xlws.FILTER(BP$19:BP$1010,(($A$19:$A$1010=$A7)*(BP$19:BP$1010&lt;&gt;0)*(BP$19:BP$1010&lt;&gt;"F"))))),"")</f>
        <v/>
      </c>
      <c r="BQ7" s="46" t="str" cm="1">
        <f t="array" ref="BQ7">+IFERROR(_xlfn.CONCAT(_xlfn.UNIQUE(_xlfn._xlws.FILTER(BQ$19:BQ$1010,(($A$19:$A$1010=$A7)*(BQ$19:BQ$1010&lt;&gt;0)*(BQ$19:BQ$1010&lt;&gt;"F"))))),"")</f>
        <v/>
      </c>
      <c r="BR7" s="46" t="str" cm="1">
        <f t="array" ref="BR7">+IFERROR(_xlfn.CONCAT(_xlfn.UNIQUE(_xlfn._xlws.FILTER(BR$19:BR$1010,(($A$19:$A$1010=$A7)*(BR$19:BR$1010&lt;&gt;0)*(BR$19:BR$1010&lt;&gt;"F"))))),"")</f>
        <v/>
      </c>
      <c r="BS7" s="47" t="str" cm="1">
        <f t="array" ref="BS7">+IFERROR(_xlfn.CONCAT(_xlfn.UNIQUE(_xlfn._xlws.FILTER(BS$19:BS$1010,(($A$19:$A$1010=$A7)*(BS$19:BS$1010&lt;&gt;0)*(BS$19:BS$1010&lt;&gt;"F"))))),"")</f>
        <v/>
      </c>
    </row>
    <row r="8" spans="1:71" s="13" customFormat="1" ht="39.9" customHeight="1" x14ac:dyDescent="0.3">
      <c r="A8" s="57" t="str">
        <v>RAVEX - ROTEIRIZACAO DE GADO</v>
      </c>
      <c r="B8" s="27"/>
      <c r="C8" s="28">
        <v>1200000</v>
      </c>
      <c r="D8" s="29" t="str">
        <v>Estratégico</v>
      </c>
      <c r="E8" s="29" t="str">
        <v>Implantação Sistema Terceiro</v>
      </c>
      <c r="F8" s="29" t="str">
        <v>Média</v>
      </c>
      <c r="G8" s="45" t="str" cm="1">
        <f t="array" ref="G8">+IFERROR(_xlfn.CONCAT(_xlfn.UNIQUE(_xlfn._xlws.FILTER(G$19:G$1010,(($A$19:$A$1010=$A8)*(G$19:G$1010&lt;&gt;0)*(G$19:G$1010&lt;&gt;"F"))))),"")</f>
        <v/>
      </c>
      <c r="H8" s="46" t="str" cm="1">
        <f t="array" ref="H8">+IFERROR(_xlfn.CONCAT(_xlfn.UNIQUE(_xlfn._xlws.FILTER(H$19:H$1010,(($A$19:$A$1010=$A8)*(H$19:H$1010&lt;&gt;0)*(H$19:H$1010&lt;&gt;"F"))))),"")</f>
        <v/>
      </c>
      <c r="I8" s="46" t="str" cm="1">
        <f t="array" ref="I8">+IFERROR(_xlfn.CONCAT(_xlfn.UNIQUE(_xlfn._xlws.FILTER(I$19:I$1010,(($A$19:$A$1010=$A8)*(I$19:I$1010&lt;&gt;0)*(I$19:I$1010&lt;&gt;"F"))))),"")</f>
        <v/>
      </c>
      <c r="J8" s="46" t="str" cm="1">
        <f t="array" ref="J8">+IFERROR(_xlfn.CONCAT(_xlfn.UNIQUE(_xlfn._xlws.FILTER(J$19:J$1010,(($A$19:$A$1010=$A8)*(J$19:J$1010&lt;&gt;0)*(J$19:J$1010&lt;&gt;"F"))))),"")</f>
        <v/>
      </c>
      <c r="K8" s="47" t="str" cm="1">
        <f t="array" ref="K8">+IFERROR(_xlfn.CONCAT(_xlfn.UNIQUE(_xlfn._xlws.FILTER(K$19:K$1010,(($A$19:$A$1010=$A8)*(K$19:K$1010&lt;&gt;0)*(K$19:K$1010&lt;&gt;"F"))))),"")</f>
        <v/>
      </c>
      <c r="L8" s="45" t="str" cm="1">
        <f t="array" ref="L8">+IFERROR(_xlfn.CONCAT(_xlfn.UNIQUE(_xlfn._xlws.FILTER(L$19:L$1010,(($A$19:$A$1010=$A8)*(L$19:L$1010&lt;&gt;0)*(L$19:L$1010&lt;&gt;"F"))))),"")</f>
        <v/>
      </c>
      <c r="M8" s="46" t="str" cm="1">
        <f t="array" ref="M8">+IFERROR(_xlfn.CONCAT(_xlfn.UNIQUE(_xlfn._xlws.FILTER(M$19:M$1010,(($A$19:$A$1010=$A8)*(M$19:M$1010&lt;&gt;0)*(M$19:M$1010&lt;&gt;"F"))))),"")</f>
        <v/>
      </c>
      <c r="N8" s="46" t="str" cm="1">
        <f t="array" ref="N8">+IFERROR(_xlfn.CONCAT(_xlfn.UNIQUE(_xlfn._xlws.FILTER(N$19:N$1010,(($A$19:$A$1010=$A8)*(N$19:N$1010&lt;&gt;0)*(N$19:N$1010&lt;&gt;"F"))))),"")</f>
        <v/>
      </c>
      <c r="O8" s="47" t="str" cm="1">
        <f t="array" ref="O8">+IFERROR(_xlfn.CONCAT(_xlfn.UNIQUE(_xlfn._xlws.FILTER(O$19:O$1010,(($A$19:$A$1010=$A8)*(O$19:O$1010&lt;&gt;0)*(O$19:O$1010&lt;&gt;"F"))))),"")</f>
        <v/>
      </c>
      <c r="P8" s="45" t="str" cm="1">
        <f t="array" ref="P8">+IFERROR(_xlfn.CONCAT(_xlfn.UNIQUE(_xlfn._xlws.FILTER(P$19:P$1010,(($A$19:$A$1010=$A8)*(P$19:P$1010&lt;&gt;0)*(P$19:P$1010&lt;&gt;"F"))))),"")</f>
        <v/>
      </c>
      <c r="Q8" s="46" t="str" cm="1">
        <f t="array" ref="Q8">+IFERROR(_xlfn.CONCAT(_xlfn.UNIQUE(_xlfn._xlws.FILTER(Q$19:Q$1010,(($A$19:$A$1010=$A8)*(Q$19:Q$1010&lt;&gt;0)*(Q$19:Q$1010&lt;&gt;"F"))))),"")</f>
        <v/>
      </c>
      <c r="R8" s="46" t="str" cm="1">
        <f t="array" ref="R8">+IFERROR(_xlfn.CONCAT(_xlfn.UNIQUE(_xlfn._xlws.FILTER(R$19:R$1010,(($A$19:$A$1010=$A8)*(R$19:R$1010&lt;&gt;0)*(R$19:R$1010&lt;&gt;"F"))))),"")</f>
        <v/>
      </c>
      <c r="S8" s="47" t="str" cm="1">
        <f t="array" ref="S8">+IFERROR(_xlfn.CONCAT(_xlfn.UNIQUE(_xlfn._xlws.FILTER(S$19:S$1010,(($A$19:$A$1010=$A8)*(S$19:S$1010&lt;&gt;0)*(S$19:S$1010&lt;&gt;"F"))))),"")</f>
        <v/>
      </c>
      <c r="T8" s="45" t="str" cm="1">
        <f t="array" ref="T8">+IFERROR(_xlfn.CONCAT(_xlfn.UNIQUE(_xlfn._xlws.FILTER(T$19:T$1010,(($A$19:$A$1010=$A8)*(T$19:T$1010&lt;&gt;0)*(T$19:T$1010&lt;&gt;"F"))))),"")</f>
        <v/>
      </c>
      <c r="U8" s="46" t="str" cm="1">
        <f t="array" ref="U8">+IFERROR(_xlfn.CONCAT(_xlfn.UNIQUE(_xlfn._xlws.FILTER(U$19:U$1010,(($A$19:$A$1010=$A8)*(U$19:U$1010&lt;&gt;0)*(U$19:U$1010&lt;&gt;"F"))))),"")</f>
        <v/>
      </c>
      <c r="V8" s="46" t="str" cm="1">
        <f t="array" ref="V8">+IFERROR(_xlfn.CONCAT(_xlfn.UNIQUE(_xlfn._xlws.FILTER(V$19:V$1010,(($A$19:$A$1010=$A8)*(V$19:V$1010&lt;&gt;0)*(V$19:V$1010&lt;&gt;"F"))))),"")</f>
        <v/>
      </c>
      <c r="W8" s="46" t="str" cm="1">
        <f t="array" ref="W8">+IFERROR(_xlfn.CONCAT(_xlfn.UNIQUE(_xlfn._xlws.FILTER(W$19:W$1010,(($A$19:$A$1010=$A8)*(W$19:W$1010&lt;&gt;0)*(W$19:W$1010&lt;&gt;"F"))))),"")</f>
        <v/>
      </c>
      <c r="X8" s="47" t="str" cm="1">
        <f t="array" ref="X8">+IFERROR(_xlfn.CONCAT(_xlfn.UNIQUE(_xlfn._xlws.FILTER(X$19:X$1010,(($A$19:$A$1010=$A8)*(X$19:X$1010&lt;&gt;0)*(X$19:X$1010&lt;&gt;"F"))))),"")</f>
        <v/>
      </c>
      <c r="Y8" s="45" t="str" cm="1">
        <f t="array" ref="Y8">+IFERROR(_xlfn.CONCAT(_xlfn.UNIQUE(_xlfn._xlws.FILTER(Y$19:Y$1010,(($A$19:$A$1010=$A8)*(Y$19:Y$1010&lt;&gt;0)*(Y$19:Y$1010&lt;&gt;"F"))))),"")</f>
        <v/>
      </c>
      <c r="Z8" s="46" t="str" cm="1">
        <f t="array" ref="Z8">+IFERROR(_xlfn.CONCAT(_xlfn.UNIQUE(_xlfn._xlws.FILTER(Z$19:Z$1010,(($A$19:$A$1010=$A8)*(Z$19:Z$1010&lt;&gt;0)*(Z$19:Z$1010&lt;&gt;"F"))))),"")</f>
        <v/>
      </c>
      <c r="AA8" s="46" t="str" cm="1">
        <f t="array" ref="AA8">+IFERROR(_xlfn.CONCAT(_xlfn.UNIQUE(_xlfn._xlws.FILTER(AA$19:AA$1010,(($A$19:$A$1010=$A8)*(AA$19:AA$1010&lt;&gt;0)*(AA$19:AA$1010&lt;&gt;"F"))))),"")</f>
        <v/>
      </c>
      <c r="AB8" s="47" t="str" cm="1">
        <f t="array" ref="AB8">+IFERROR(_xlfn.CONCAT(_xlfn.UNIQUE(_xlfn._xlws.FILTER(AB$19:AB$1010,(($A$19:$A$1010=$A8)*(AB$19:AB$1010&lt;&gt;0)*(AB$19:AB$1010&lt;&gt;"F"))))),"")</f>
        <v/>
      </c>
      <c r="AC8" s="45" t="str" cm="1">
        <f t="array" ref="AC8">+IFERROR(_xlfn.CONCAT(_xlfn.UNIQUE(_xlfn._xlws.FILTER(AC$19:AC$1010,(($A$19:$A$1010=$A8)*(AC$19:AC$1010&lt;&gt;0)*(AC$19:AC$1010&lt;&gt;"F"))))),"")</f>
        <v/>
      </c>
      <c r="AD8" s="46" t="str" cm="1">
        <f t="array" ref="AD8">+IFERROR(_xlfn.CONCAT(_xlfn.UNIQUE(_xlfn._xlws.FILTER(AD$19:AD$1010,(($A$19:$A$1010=$A8)*(AD$19:AD$1010&lt;&gt;0)*(AD$19:AD$1010&lt;&gt;"F"))))),"")</f>
        <v/>
      </c>
      <c r="AE8" s="46" t="str" cm="1">
        <f t="array" ref="AE8">+IFERROR(_xlfn.CONCAT(_xlfn.UNIQUE(_xlfn._xlws.FILTER(AE$19:AE$1010,(($A$19:$A$1010=$A8)*(AE$19:AE$1010&lt;&gt;0)*(AE$19:AE$1010&lt;&gt;"F"))))),"")</f>
        <v/>
      </c>
      <c r="AF8" s="47" t="str" cm="1">
        <f t="array" ref="AF8">+IFERROR(_xlfn.CONCAT(_xlfn.UNIQUE(_xlfn._xlws.FILTER(AF$19:AF$1010,(($A$19:$A$1010=$A8)*(AF$19:AF$1010&lt;&gt;0)*(AF$19:AF$1010&lt;&gt;"F"))))),"")</f>
        <v/>
      </c>
      <c r="AG8" s="45" t="str" cm="1">
        <f t="array" ref="AG8">+IFERROR(_xlfn.CONCAT(_xlfn.UNIQUE(_xlfn._xlws.FILTER(AG$19:AG$1010,(($A$19:$A$1010=$A8)*(AG$19:AG$1010&lt;&gt;0)*(AG$19:AG$1010&lt;&gt;"F"))))),"")</f>
        <v/>
      </c>
      <c r="AH8" s="46" t="str" cm="1">
        <f t="array" ref="AH8">+IFERROR(_xlfn.CONCAT(_xlfn.UNIQUE(_xlfn._xlws.FILTER(AH$19:AH$1010,(($A$19:$A$1010=$A8)*(AH$19:AH$1010&lt;&gt;0)*(AH$19:AH$1010&lt;&gt;"F"))))),"")</f>
        <v/>
      </c>
      <c r="AI8" s="46" t="str" cm="1">
        <f t="array" ref="AI8">+IFERROR(_xlfn.CONCAT(_xlfn.UNIQUE(_xlfn._xlws.FILTER(AI$19:AI$1010,(($A$19:$A$1010=$A8)*(AI$19:AI$1010&lt;&gt;0)*(AI$19:AI$1010&lt;&gt;"F"))))),"")</f>
        <v/>
      </c>
      <c r="AJ8" s="46" t="str" cm="1">
        <f t="array" ref="AJ8">+IFERROR(_xlfn.CONCAT(_xlfn.UNIQUE(_xlfn._xlws.FILTER(AJ$19:AJ$1010,(($A$19:$A$1010=$A8)*(AJ$19:AJ$1010&lt;&gt;0)*(AJ$19:AJ$1010&lt;&gt;"F"))))),"")</f>
        <v/>
      </c>
      <c r="AK8" s="47" t="str" cm="1">
        <f t="array" ref="AK8">+IFERROR(_xlfn.CONCAT(_xlfn.UNIQUE(_xlfn._xlws.FILTER(AK$19:AK$1010,(($A$19:$A$1010=$A8)*(AK$19:AK$1010&lt;&gt;0)*(AK$19:AK$1010&lt;&gt;"F"))))),"")</f>
        <v/>
      </c>
      <c r="AL8" s="45" t="str" cm="1">
        <f t="array" ref="AL8">+IFERROR(_xlfn.CONCAT(_xlfn.UNIQUE(_xlfn._xlws.FILTER(AL$19:AL$1010,(($A$19:$A$1010=$A8)*(AL$19:AL$1010&lt;&gt;0)*(AL$19:AL$1010&lt;&gt;"F"))))),"")</f>
        <v/>
      </c>
      <c r="AM8" s="46" t="str" cm="1">
        <f t="array" ref="AM8">+IFERROR(_xlfn.CONCAT(_xlfn.UNIQUE(_xlfn._xlws.FILTER(AM$19:AM$1010,(($A$19:$A$1010=$A8)*(AM$19:AM$1010&lt;&gt;0)*(AM$19:AM$1010&lt;&gt;"F"))))),"")</f>
        <v/>
      </c>
      <c r="AN8" s="46" t="str" cm="1">
        <f t="array" ref="AN8">+IFERROR(_xlfn.CONCAT(_xlfn.UNIQUE(_xlfn._xlws.FILTER(AN$19:AN$1010,(($A$19:$A$1010=$A8)*(AN$19:AN$1010&lt;&gt;0)*(AN$19:AN$1010&lt;&gt;"F"))))),"")</f>
        <v/>
      </c>
      <c r="AO8" s="47" t="str" cm="1">
        <f t="array" ref="AO8">+IFERROR(_xlfn.CONCAT(_xlfn.UNIQUE(_xlfn._xlws.FILTER(AO$19:AO$1010,(($A$19:$A$1010=$A8)*(AO$19:AO$1010&lt;&gt;0)*(AO$19:AO$1010&lt;&gt;"F"))))),"")</f>
        <v/>
      </c>
      <c r="AP8" s="45" t="str" cm="1">
        <f t="array" ref="AP8">+IFERROR(_xlfn.CONCAT(_xlfn.UNIQUE(_xlfn._xlws.FILTER(AP$19:AP$1010,(($A$19:$A$1010=$A8)*(AP$19:AP$1010&lt;&gt;0)*(AP$19:AP$1010&lt;&gt;"F"))))),"")</f>
        <v/>
      </c>
      <c r="AQ8" s="46" t="str" cm="1">
        <f t="array" ref="AQ8">+IFERROR(_xlfn.CONCAT(_xlfn.UNIQUE(_xlfn._xlws.FILTER(AQ$19:AQ$1010,(($A$19:$A$1010=$A8)*(AQ$19:AQ$1010&lt;&gt;0)*(AQ$19:AQ$1010&lt;&gt;"F"))))),"")</f>
        <v/>
      </c>
      <c r="AR8" s="46" t="str" cm="1">
        <f t="array" ref="AR8">+IFERROR(_xlfn.CONCAT(_xlfn.UNIQUE(_xlfn._xlws.FILTER(AR$19:AR$1010,(($A$19:$A$1010=$A8)*(AR$19:AR$1010&lt;&gt;0)*(AR$19:AR$1010&lt;&gt;"F"))))),"")</f>
        <v/>
      </c>
      <c r="AS8" s="47" t="str" cm="1">
        <f t="array" ref="AS8">+IFERROR(_xlfn.CONCAT(_xlfn.UNIQUE(_xlfn._xlws.FILTER(AS$19:AS$1010,(($A$19:$A$1010=$A8)*(AS$19:AS$1010&lt;&gt;0)*(AS$19:AS$1010&lt;&gt;"F"))))),"")</f>
        <v/>
      </c>
      <c r="AT8" s="45" t="str" cm="1">
        <f t="array" ref="AT8">+IFERROR(_xlfn.CONCAT(_xlfn.UNIQUE(_xlfn._xlws.FILTER(AT$19:AT$1010,(($A$19:$A$1010=$A8)*(AT$19:AT$1010&lt;&gt;0)*(AT$19:AT$1010&lt;&gt;"F"))))),"")</f>
        <v/>
      </c>
      <c r="AU8" s="46" t="str" cm="1">
        <f t="array" ref="AU8">+IFERROR(_xlfn.CONCAT(_xlfn.UNIQUE(_xlfn._xlws.FILTER(AU$19:AU$1010,(($A$19:$A$1010=$A8)*(AU$19:AU$1010&lt;&gt;0)*(AU$19:AU$1010&lt;&gt;"F"))))),"")</f>
        <v/>
      </c>
      <c r="AV8" s="46" t="str" cm="1">
        <f t="array" ref="AV8">+IFERROR(_xlfn.CONCAT(_xlfn.UNIQUE(_xlfn._xlws.FILTER(AV$19:AV$1010,(($A$19:$A$1010=$A8)*(AV$19:AV$1010&lt;&gt;0)*(AV$19:AV$1010&lt;&gt;"F"))))),"")</f>
        <v/>
      </c>
      <c r="AW8" s="46" t="str" cm="1">
        <f t="array" ref="AW8">+IFERROR(_xlfn.CONCAT(_xlfn.UNIQUE(_xlfn._xlws.FILTER(AW$19:AW$1010,(($A$19:$A$1010=$A8)*(AW$19:AW$1010&lt;&gt;0)*(AW$19:AW$1010&lt;&gt;"F"))))),"")</f>
        <v/>
      </c>
      <c r="AX8" s="47" t="str" cm="1">
        <f t="array" ref="AX8">+IFERROR(_xlfn.CONCAT(_xlfn.UNIQUE(_xlfn._xlws.FILTER(AX$19:AX$1010,(($A$19:$A$1010=$A8)*(AX$19:AX$1010&lt;&gt;0)*(AX$19:AX$1010&lt;&gt;"F"))))),"")</f>
        <v/>
      </c>
      <c r="AY8" s="45" t="str" cm="1">
        <f t="array" ref="AY8">+IFERROR(_xlfn.CONCAT(_xlfn.UNIQUE(_xlfn._xlws.FILTER(AY$19:AY$1010,(($A$19:$A$1010=$A8)*(AY$19:AY$1010&lt;&gt;0)*(AY$19:AY$1010&lt;&gt;"F"))))),"")</f>
        <v/>
      </c>
      <c r="AZ8" s="46" t="str" cm="1">
        <f t="array" ref="AZ8">+IFERROR(_xlfn.CONCAT(_xlfn.UNIQUE(_xlfn._xlws.FILTER(AZ$19:AZ$1010,(($A$19:$A$1010=$A8)*(AZ$19:AZ$1010&lt;&gt;0)*(AZ$19:AZ$1010&lt;&gt;"F"))))),"")</f>
        <v/>
      </c>
      <c r="BA8" s="46" t="str" cm="1">
        <f t="array" ref="BA8">+IFERROR(_xlfn.CONCAT(_xlfn.UNIQUE(_xlfn._xlws.FILTER(BA$19:BA$1010,(($A$19:$A$1010=$A8)*(BA$19:BA$1010&lt;&gt;0)*(BA$19:BA$1010&lt;&gt;"F"))))),"")</f>
        <v/>
      </c>
      <c r="BB8" s="47" t="str" cm="1">
        <f t="array" ref="BB8">+IFERROR(_xlfn.CONCAT(_xlfn.UNIQUE(_xlfn._xlws.FILTER(BB$19:BB$1010,(($A$19:$A$1010=$A8)*(BB$19:BB$1010&lt;&gt;0)*(BB$19:BB$1010&lt;&gt;"F"))))),"")</f>
        <v/>
      </c>
      <c r="BC8" s="45" t="str" cm="1">
        <f t="array" ref="BC8">+IFERROR(_xlfn.CONCAT(_xlfn.UNIQUE(_xlfn._xlws.FILTER(BC$19:BC$1010,(($A$19:$A$1010=$A8)*(BC$19:BC$1010&lt;&gt;0)*(BC$19:BC$1010&lt;&gt;"F"))))),"")</f>
        <v/>
      </c>
      <c r="BD8" s="46" t="str" cm="1">
        <f t="array" ref="BD8">+IFERROR(_xlfn.CONCAT(_xlfn.UNIQUE(_xlfn._xlws.FILTER(BD$19:BD$1010,(($A$19:$A$1010=$A8)*(BD$19:BD$1010&lt;&gt;0)*(BD$19:BD$1010&lt;&gt;"F"))))),"")</f>
        <v/>
      </c>
      <c r="BE8" s="46" t="str" cm="1">
        <f t="array" ref="BE8">+IFERROR(_xlfn.CONCAT(_xlfn.UNIQUE(_xlfn._xlws.FILTER(BE$19:BE$1010,(($A$19:$A$1010=$A8)*(BE$19:BE$1010&lt;&gt;0)*(BE$19:BE$1010&lt;&gt;"F"))))),"")</f>
        <v/>
      </c>
      <c r="BF8" s="47" t="str" cm="1">
        <f t="array" ref="BF8">+IFERROR(_xlfn.CONCAT(_xlfn.UNIQUE(_xlfn._xlws.FILTER(BF$19:BF$1010,(($A$19:$A$1010=$A8)*(BF$19:BF$1010&lt;&gt;0)*(BF$19:BF$1010&lt;&gt;"F"))))),"")</f>
        <v/>
      </c>
      <c r="BG8" s="45" t="str" cm="1">
        <f t="array" ref="BG8">+IFERROR(_xlfn.CONCAT(_xlfn.UNIQUE(_xlfn._xlws.FILTER(BG$19:BG$1010,(($A$19:$A$1010=$A8)*(BG$19:BG$1010&lt;&gt;0)*(BG$19:BG$1010&lt;&gt;"F"))))),"")</f>
        <v/>
      </c>
      <c r="BH8" s="46" t="str" cm="1">
        <f t="array" ref="BH8">+IFERROR(_xlfn.CONCAT(_xlfn.UNIQUE(_xlfn._xlws.FILTER(BH$19:BH$1010,(($A$19:$A$1010=$A8)*(BH$19:BH$1010&lt;&gt;0)*(BH$19:BH$1010&lt;&gt;"F"))))),"")</f>
        <v/>
      </c>
      <c r="BI8" s="46" t="str" cm="1">
        <f t="array" ref="BI8">+IFERROR(_xlfn.CONCAT(_xlfn.UNIQUE(_xlfn._xlws.FILTER(BI$19:BI$1010,(($A$19:$A$1010=$A8)*(BI$19:BI$1010&lt;&gt;0)*(BI$19:BI$1010&lt;&gt;"F"))))),"")</f>
        <v/>
      </c>
      <c r="BJ8" s="46" t="str" cm="1">
        <f t="array" ref="BJ8">+IFERROR(_xlfn.CONCAT(_xlfn.UNIQUE(_xlfn._xlws.FILTER(BJ$19:BJ$1010,(($A$19:$A$1010=$A8)*(BJ$19:BJ$1010&lt;&gt;0)*(BJ$19:BJ$1010&lt;&gt;"F"))))),"")</f>
        <v/>
      </c>
      <c r="BK8" s="47" t="str" cm="1">
        <f t="array" ref="BK8">+IFERROR(_xlfn.CONCAT(_xlfn.UNIQUE(_xlfn._xlws.FILTER(BK$19:BK$1010,(($A$19:$A$1010=$A8)*(BK$19:BK$1010&lt;&gt;0)*(BK$19:BK$1010&lt;&gt;"F"))))),"")</f>
        <v/>
      </c>
      <c r="BL8" s="45" t="str" cm="1">
        <f t="array" ref="BL8">+IFERROR(_xlfn.CONCAT(_xlfn.UNIQUE(_xlfn._xlws.FILTER(BL$19:BL$1010,(($A$19:$A$1010=$A8)*(BL$19:BL$1010&lt;&gt;0)*(BL$19:BL$1010&lt;&gt;"F"))))),"")</f>
        <v/>
      </c>
      <c r="BM8" s="46" t="str" cm="1">
        <f t="array" ref="BM8">+IFERROR(_xlfn.CONCAT(_xlfn.UNIQUE(_xlfn._xlws.FILTER(BM$19:BM$1010,(($A$19:$A$1010=$A8)*(BM$19:BM$1010&lt;&gt;0)*(BM$19:BM$1010&lt;&gt;"F"))))),"")</f>
        <v/>
      </c>
      <c r="BN8" s="46" t="str" cm="1">
        <f t="array" ref="BN8">+IFERROR(_xlfn.CONCAT(_xlfn.UNIQUE(_xlfn._xlws.FILTER(BN$19:BN$1010,(($A$19:$A$1010=$A8)*(BN$19:BN$1010&lt;&gt;0)*(BN$19:BN$1010&lt;&gt;"F"))))),"")</f>
        <v/>
      </c>
      <c r="BO8" s="47" t="str" cm="1">
        <f t="array" ref="BO8">+IFERROR(_xlfn.CONCAT(_xlfn.UNIQUE(_xlfn._xlws.FILTER(BO$19:BO$1010,(($A$19:$A$1010=$A8)*(BO$19:BO$1010&lt;&gt;0)*(BO$19:BO$1010&lt;&gt;"F"))))),"")</f>
        <v/>
      </c>
      <c r="BP8" s="45" t="str" cm="1">
        <f t="array" ref="BP8">+IFERROR(_xlfn.CONCAT(_xlfn.UNIQUE(_xlfn._xlws.FILTER(BP$19:BP$1010,(($A$19:$A$1010=$A8)*(BP$19:BP$1010&lt;&gt;0)*(BP$19:BP$1010&lt;&gt;"F"))))),"")</f>
        <v/>
      </c>
      <c r="BQ8" s="46" t="str" cm="1">
        <f t="array" ref="BQ8">+IFERROR(_xlfn.CONCAT(_xlfn.UNIQUE(_xlfn._xlws.FILTER(BQ$19:BQ$1010,(($A$19:$A$1010=$A8)*(BQ$19:BQ$1010&lt;&gt;0)*(BQ$19:BQ$1010&lt;&gt;"F"))))),"")</f>
        <v/>
      </c>
      <c r="BR8" s="46" t="str" cm="1">
        <f t="array" ref="BR8">+IFERROR(_xlfn.CONCAT(_xlfn.UNIQUE(_xlfn._xlws.FILTER(BR$19:BR$1010,(($A$19:$A$1010=$A8)*(BR$19:BR$1010&lt;&gt;0)*(BR$19:BR$1010&lt;&gt;"F"))))),"")</f>
        <v/>
      </c>
      <c r="BS8" s="47" t="str" cm="1">
        <f t="array" ref="BS8">+IFERROR(_xlfn.CONCAT(_xlfn.UNIQUE(_xlfn._xlws.FILTER(BS$19:BS$1010,(($A$19:$A$1010=$A8)*(BS$19:BS$1010&lt;&gt;0)*(BS$19:BS$1010&lt;&gt;"F"))))),"")</f>
        <v/>
      </c>
    </row>
    <row r="9" spans="1:71" s="13" customFormat="1" ht="39.9" customHeight="1" x14ac:dyDescent="0.3">
      <c r="A9" s="57" t="str">
        <v>TABELA DE FRETES - FAIXA KM/KG</v>
      </c>
      <c r="B9" s="27"/>
      <c r="C9" s="28">
        <v>3600000</v>
      </c>
      <c r="D9" s="29" t="str">
        <v>Evolução do Produto</v>
      </c>
      <c r="E9" s="29" t="str">
        <v>Evolução, Melhoria ou Adequação</v>
      </c>
      <c r="F9" s="29" t="str">
        <v>Muito Alta</v>
      </c>
      <c r="G9" s="45" t="str" cm="1">
        <f t="array" ref="G9">+IFERROR(_xlfn.CONCAT(_xlfn.UNIQUE(_xlfn._xlws.FILTER(G$19:G$1010,(($A$19:$A$1010=$A9)*(G$19:G$1010&lt;&gt;0)*(G$19:G$1010&lt;&gt;"F"))))),"")</f>
        <v/>
      </c>
      <c r="H9" s="46" t="str" cm="1">
        <f t="array" ref="H9">+IFERROR(_xlfn.CONCAT(_xlfn.UNIQUE(_xlfn._xlws.FILTER(H$19:H$1010,(($A$19:$A$1010=$A9)*(H$19:H$1010&lt;&gt;0)*(H$19:H$1010&lt;&gt;"F"))))),"")</f>
        <v/>
      </c>
      <c r="I9" s="46" t="str" cm="1">
        <f t="array" ref="I9">+IFERROR(_xlfn.CONCAT(_xlfn.UNIQUE(_xlfn._xlws.FILTER(I$19:I$1010,(($A$19:$A$1010=$A9)*(I$19:I$1010&lt;&gt;0)*(I$19:I$1010&lt;&gt;"F"))))),"")</f>
        <v/>
      </c>
      <c r="J9" s="46" t="str" cm="1">
        <f t="array" ref="J9">+IFERROR(_xlfn.CONCAT(_xlfn.UNIQUE(_xlfn._xlws.FILTER(J$19:J$1010,(($A$19:$A$1010=$A9)*(J$19:J$1010&lt;&gt;0)*(J$19:J$1010&lt;&gt;"F"))))),"")</f>
        <v/>
      </c>
      <c r="K9" s="47" t="str" cm="1">
        <f t="array" ref="K9">+IFERROR(_xlfn.CONCAT(_xlfn.UNIQUE(_xlfn._xlws.FILTER(K$19:K$1010,(($A$19:$A$1010=$A9)*(K$19:K$1010&lt;&gt;0)*(K$19:K$1010&lt;&gt;"F"))))),"")</f>
        <v/>
      </c>
      <c r="L9" s="45" t="str" cm="1">
        <f t="array" ref="L9">+IFERROR(_xlfn.CONCAT(_xlfn.UNIQUE(_xlfn._xlws.FILTER(L$19:L$1010,(($A$19:$A$1010=$A9)*(L$19:L$1010&lt;&gt;0)*(L$19:L$1010&lt;&gt;"F"))))),"")</f>
        <v/>
      </c>
      <c r="M9" s="46" t="str" cm="1">
        <f t="array" ref="M9">+IFERROR(_xlfn.CONCAT(_xlfn.UNIQUE(_xlfn._xlws.FILTER(M$19:M$1010,(($A$19:$A$1010=$A9)*(M$19:M$1010&lt;&gt;0)*(M$19:M$1010&lt;&gt;"F"))))),"")</f>
        <v/>
      </c>
      <c r="N9" s="46" t="str" cm="1">
        <f t="array" ref="N9">+IFERROR(_xlfn.CONCAT(_xlfn.UNIQUE(_xlfn._xlws.FILTER(N$19:N$1010,(($A$19:$A$1010=$A9)*(N$19:N$1010&lt;&gt;0)*(N$19:N$1010&lt;&gt;"F"))))),"")</f>
        <v/>
      </c>
      <c r="O9" s="47" t="str" cm="1">
        <f t="array" ref="O9">+IFERROR(_xlfn.CONCAT(_xlfn.UNIQUE(_xlfn._xlws.FILTER(O$19:O$1010,(($A$19:$A$1010=$A9)*(O$19:O$1010&lt;&gt;0)*(O$19:O$1010&lt;&gt;"F"))))),"")</f>
        <v/>
      </c>
      <c r="P9" s="45" t="str" cm="1">
        <f t="array" ref="P9">+IFERROR(_xlfn.CONCAT(_xlfn.UNIQUE(_xlfn._xlws.FILTER(P$19:P$1010,(($A$19:$A$1010=$A9)*(P$19:P$1010&lt;&gt;0)*(P$19:P$1010&lt;&gt;"F"))))),"")</f>
        <v/>
      </c>
      <c r="Q9" s="46" t="str" cm="1">
        <f t="array" ref="Q9">+IFERROR(_xlfn.CONCAT(_xlfn.UNIQUE(_xlfn._xlws.FILTER(Q$19:Q$1010,(($A$19:$A$1010=$A9)*(Q$19:Q$1010&lt;&gt;0)*(Q$19:Q$1010&lt;&gt;"F"))))),"")</f>
        <v/>
      </c>
      <c r="R9" s="46" t="str" cm="1">
        <f t="array" ref="R9">+IFERROR(_xlfn.CONCAT(_xlfn.UNIQUE(_xlfn._xlws.FILTER(R$19:R$1010,(($A$19:$A$1010=$A9)*(R$19:R$1010&lt;&gt;0)*(R$19:R$1010&lt;&gt;"F"))))),"")</f>
        <v/>
      </c>
      <c r="S9" s="47" t="str" cm="1">
        <f t="array" ref="S9">+IFERROR(_xlfn.CONCAT(_xlfn.UNIQUE(_xlfn._xlws.FILTER(S$19:S$1010,(($A$19:$A$1010=$A9)*(S$19:S$1010&lt;&gt;0)*(S$19:S$1010&lt;&gt;"F"))))),"")</f>
        <v/>
      </c>
      <c r="T9" s="45" t="str" cm="1">
        <f t="array" ref="T9">+IFERROR(_xlfn.CONCAT(_xlfn.UNIQUE(_xlfn._xlws.FILTER(T$19:T$1010,(($A$19:$A$1010=$A9)*(T$19:T$1010&lt;&gt;0)*(T$19:T$1010&lt;&gt;"F"))))),"")</f>
        <v/>
      </c>
      <c r="U9" s="46" t="str" cm="1">
        <f t="array" ref="U9">+IFERROR(_xlfn.CONCAT(_xlfn.UNIQUE(_xlfn._xlws.FILTER(U$19:U$1010,(($A$19:$A$1010=$A9)*(U$19:U$1010&lt;&gt;0)*(U$19:U$1010&lt;&gt;"F"))))),"")</f>
        <v/>
      </c>
      <c r="V9" s="46" t="str" cm="1">
        <f t="array" ref="V9">+IFERROR(_xlfn.CONCAT(_xlfn.UNIQUE(_xlfn._xlws.FILTER(V$19:V$1010,(($A$19:$A$1010=$A9)*(V$19:V$1010&lt;&gt;0)*(V$19:V$1010&lt;&gt;"F"))))),"")</f>
        <v/>
      </c>
      <c r="W9" s="46" t="str" cm="1">
        <f t="array" ref="W9">+IFERROR(_xlfn.CONCAT(_xlfn.UNIQUE(_xlfn._xlws.FILTER(W$19:W$1010,(($A$19:$A$1010=$A9)*(W$19:W$1010&lt;&gt;0)*(W$19:W$1010&lt;&gt;"F"))))),"")</f>
        <v/>
      </c>
      <c r="X9" s="47" t="str" cm="1">
        <f t="array" ref="X9">+IFERROR(_xlfn.CONCAT(_xlfn.UNIQUE(_xlfn._xlws.FILTER(X$19:X$1010,(($A$19:$A$1010=$A9)*(X$19:X$1010&lt;&gt;0)*(X$19:X$1010&lt;&gt;"F"))))),"")</f>
        <v/>
      </c>
      <c r="Y9" s="45" t="str" cm="1">
        <f t="array" ref="Y9">+IFERROR(_xlfn.CONCAT(_xlfn.UNIQUE(_xlfn._xlws.FILTER(Y$19:Y$1010,(($A$19:$A$1010=$A9)*(Y$19:Y$1010&lt;&gt;0)*(Y$19:Y$1010&lt;&gt;"F"))))),"")</f>
        <v/>
      </c>
      <c r="Z9" s="46" t="str" cm="1">
        <f t="array" ref="Z9">+IFERROR(_xlfn.CONCAT(_xlfn.UNIQUE(_xlfn._xlws.FILTER(Z$19:Z$1010,(($A$19:$A$1010=$A9)*(Z$19:Z$1010&lt;&gt;0)*(Z$19:Z$1010&lt;&gt;"F"))))),"")</f>
        <v/>
      </c>
      <c r="AA9" s="46" t="str" cm="1">
        <f t="array" ref="AA9">+IFERROR(_xlfn.CONCAT(_xlfn.UNIQUE(_xlfn._xlws.FILTER(AA$19:AA$1010,(($A$19:$A$1010=$A9)*(AA$19:AA$1010&lt;&gt;0)*(AA$19:AA$1010&lt;&gt;"F"))))),"")</f>
        <v/>
      </c>
      <c r="AB9" s="47" t="str" cm="1">
        <f t="array" ref="AB9">+IFERROR(_xlfn.CONCAT(_xlfn.UNIQUE(_xlfn._xlws.FILTER(AB$19:AB$1010,(($A$19:$A$1010=$A9)*(AB$19:AB$1010&lt;&gt;0)*(AB$19:AB$1010&lt;&gt;"F"))))),"")</f>
        <v>IN</v>
      </c>
      <c r="AC9" s="45" t="str" cm="1">
        <f t="array" ref="AC9">+IFERROR(_xlfn.CONCAT(_xlfn.UNIQUE(_xlfn._xlws.FILTER(AC$19:AC$1010,(($A$19:$A$1010=$A9)*(AC$19:AC$1010&lt;&gt;0)*(AC$19:AC$1010&lt;&gt;"F"))))),"")</f>
        <v>ES</v>
      </c>
      <c r="AD9" s="46" t="str" cm="1">
        <f t="array" ref="AD9">+IFERROR(_xlfn.CONCAT(_xlfn.UNIQUE(_xlfn._xlws.FILTER(AD$19:AD$1010,(($A$19:$A$1010=$A9)*(AD$19:AD$1010&lt;&gt;0)*(AD$19:AD$1010&lt;&gt;"F"))))),"")</f>
        <v>ES</v>
      </c>
      <c r="AE9" s="46" t="str" cm="1">
        <f t="array" ref="AE9">+IFERROR(_xlfn.CONCAT(_xlfn.UNIQUE(_xlfn._xlws.FILTER(AE$19:AE$1010,(($A$19:$A$1010=$A9)*(AE$19:AE$1010&lt;&gt;0)*(AE$19:AE$1010&lt;&gt;"F"))))),"")</f>
        <v>ES</v>
      </c>
      <c r="AF9" s="47" t="str" cm="1">
        <f t="array" ref="AF9">+IFERROR(_xlfn.CONCAT(_xlfn.UNIQUE(_xlfn._xlws.FILTER(AF$19:AF$1010,(($A$19:$A$1010=$A9)*(AF$19:AF$1010&lt;&gt;0)*(AF$19:AF$1010&lt;&gt;"F"))))),"")</f>
        <v>ES</v>
      </c>
      <c r="AG9" s="45" t="str" cm="1">
        <f t="array" ref="AG9">+IFERROR(_xlfn.CONCAT(_xlfn.UNIQUE(_xlfn._xlws.FILTER(AG$19:AG$1010,(($A$19:$A$1010=$A9)*(AG$19:AG$1010&lt;&gt;0)*(AG$19:AG$1010&lt;&gt;"F"))))),"")</f>
        <v>PL</v>
      </c>
      <c r="AH9" s="46" t="str" cm="1">
        <f t="array" ref="AH9">+IFERROR(_xlfn.CONCAT(_xlfn.UNIQUE(_xlfn._xlws.FILTER(AH$19:AH$1010,(($A$19:$A$1010=$A9)*(AH$19:AH$1010&lt;&gt;0)*(AH$19:AH$1010&lt;&gt;"F"))))),"")</f>
        <v>DE</v>
      </c>
      <c r="AI9" s="46" t="str" cm="1">
        <f t="array" ref="AI9">+IFERROR(_xlfn.CONCAT(_xlfn.UNIQUE(_xlfn._xlws.FILTER(AI$19:AI$1010,(($A$19:$A$1010=$A9)*(AI$19:AI$1010&lt;&gt;0)*(AI$19:AI$1010&lt;&gt;"F"))))),"")</f>
        <v>DE</v>
      </c>
      <c r="AJ9" s="46" t="str" cm="1">
        <f t="array" ref="AJ9">+IFERROR(_xlfn.CONCAT(_xlfn.UNIQUE(_xlfn._xlws.FILTER(AJ$19:AJ$1010,(($A$19:$A$1010=$A9)*(AJ$19:AJ$1010&lt;&gt;0)*(AJ$19:AJ$1010&lt;&gt;"F"))))),"")</f>
        <v>DE</v>
      </c>
      <c r="AK9" s="47" t="str" cm="1">
        <f t="array" ref="AK9">+IFERROR(_xlfn.CONCAT(_xlfn.UNIQUE(_xlfn._xlws.FILTER(AK$19:AK$1010,(($A$19:$A$1010=$A9)*(AK$19:AK$1010&lt;&gt;0)*(AK$19:AK$1010&lt;&gt;"F"))))),"")</f>
        <v>DE</v>
      </c>
      <c r="AL9" s="45" t="str" cm="1">
        <f t="array" ref="AL9">+IFERROR(_xlfn.CONCAT(_xlfn.UNIQUE(_xlfn._xlws.FILTER(AL$19:AL$1010,(($A$19:$A$1010=$A9)*(AL$19:AL$1010&lt;&gt;0)*(AL$19:AL$1010&lt;&gt;"F"))))),"")</f>
        <v>DE</v>
      </c>
      <c r="AM9" s="46" t="str" cm="1">
        <f t="array" ref="AM9">+IFERROR(_xlfn.CONCAT(_xlfn.UNIQUE(_xlfn._xlws.FILTER(AM$19:AM$1010,(($A$19:$A$1010=$A9)*(AM$19:AM$1010&lt;&gt;0)*(AM$19:AM$1010&lt;&gt;"F"))))),"")</f>
        <v>DE</v>
      </c>
      <c r="AN9" s="46" t="str" cm="1">
        <f t="array" ref="AN9">+IFERROR(_xlfn.CONCAT(_xlfn.UNIQUE(_xlfn._xlws.FILTER(AN$19:AN$1010,(($A$19:$A$1010=$A9)*(AN$19:AN$1010&lt;&gt;0)*(AN$19:AN$1010&lt;&gt;"F"))))),"")</f>
        <v>DE</v>
      </c>
      <c r="AO9" s="47" t="str" cm="1">
        <f t="array" ref="AO9">+IFERROR(_xlfn.CONCAT(_xlfn.UNIQUE(_xlfn._xlws.FILTER(AO$19:AO$1010,(($A$19:$A$1010=$A9)*(AO$19:AO$1010&lt;&gt;0)*(AO$19:AO$1010&lt;&gt;"F"))))),"")</f>
        <v>DE</v>
      </c>
      <c r="AP9" s="45" t="str" cm="1">
        <f t="array" ref="AP9">+IFERROR(_xlfn.CONCAT(_xlfn.UNIQUE(_xlfn._xlws.FILTER(AP$19:AP$1010,(($A$19:$A$1010=$A9)*(AP$19:AP$1010&lt;&gt;0)*(AP$19:AP$1010&lt;&gt;"F"))))),"")</f>
        <v>DE</v>
      </c>
      <c r="AQ9" s="46" t="str" cm="1">
        <f t="array" ref="AQ9">+IFERROR(_xlfn.CONCAT(_xlfn.UNIQUE(_xlfn._xlws.FILTER(AQ$19:AQ$1010,(($A$19:$A$1010=$A9)*(AQ$19:AQ$1010&lt;&gt;0)*(AQ$19:AQ$1010&lt;&gt;"F"))))),"")</f>
        <v>DE</v>
      </c>
      <c r="AR9" s="46" t="str" cm="1">
        <f t="array" ref="AR9">+IFERROR(_xlfn.CONCAT(_xlfn.UNIQUE(_xlfn._xlws.FILTER(AR$19:AR$1010,(($A$19:$A$1010=$A9)*(AR$19:AR$1010&lt;&gt;0)*(AR$19:AR$1010&lt;&gt;"F"))))),"")</f>
        <v>DE</v>
      </c>
      <c r="AS9" s="47" t="str" cm="1">
        <f t="array" ref="AS9">+IFERROR(_xlfn.CONCAT(_xlfn.UNIQUE(_xlfn._xlws.FILTER(AS$19:AS$1010,(($A$19:$A$1010=$A9)*(AS$19:AS$1010&lt;&gt;0)*(AS$19:AS$1010&lt;&gt;"F"))))),"")</f>
        <v>DE</v>
      </c>
      <c r="AT9" s="45" t="str" cm="1">
        <f t="array" ref="AT9">+IFERROR(_xlfn.CONCAT(_xlfn.UNIQUE(_xlfn._xlws.FILTER(AT$19:AT$1010,(($A$19:$A$1010=$A9)*(AT$19:AT$1010&lt;&gt;0)*(AT$19:AT$1010&lt;&gt;"F"))))),"")</f>
        <v>DE</v>
      </c>
      <c r="AU9" s="46" t="str" cm="1">
        <f t="array" ref="AU9">+IFERROR(_xlfn.CONCAT(_xlfn.UNIQUE(_xlfn._xlws.FILTER(AU$19:AU$1010,(($A$19:$A$1010=$A9)*(AU$19:AU$1010&lt;&gt;0)*(AU$19:AU$1010&lt;&gt;"F"))))),"")</f>
        <v>DE</v>
      </c>
      <c r="AV9" s="46" t="str" cm="1">
        <f t="array" ref="AV9">+IFERROR(_xlfn.CONCAT(_xlfn.UNIQUE(_xlfn._xlws.FILTER(AV$19:AV$1010,(($A$19:$A$1010=$A9)*(AV$19:AV$1010&lt;&gt;0)*(AV$19:AV$1010&lt;&gt;"F"))))),"")</f>
        <v>DE</v>
      </c>
      <c r="AW9" s="46" t="str" cm="1">
        <f t="array" ref="AW9">+IFERROR(_xlfn.CONCAT(_xlfn.UNIQUE(_xlfn._xlws.FILTER(AW$19:AW$1010,(($A$19:$A$1010=$A9)*(AW$19:AW$1010&lt;&gt;0)*(AW$19:AW$1010&lt;&gt;"F"))))),"")</f>
        <v>DE</v>
      </c>
      <c r="AX9" s="47" t="str" cm="1">
        <f t="array" ref="AX9">+IFERROR(_xlfn.CONCAT(_xlfn.UNIQUE(_xlfn._xlws.FILTER(AX$19:AX$1010,(($A$19:$A$1010=$A9)*(AX$19:AX$1010&lt;&gt;0)*(AX$19:AX$1010&lt;&gt;"F"))))),"")</f>
        <v>QA</v>
      </c>
      <c r="AY9" s="45" t="str" cm="1">
        <f t="array" ref="AY9">+IFERROR(_xlfn.CONCAT(_xlfn.UNIQUE(_xlfn._xlws.FILTER(AY$19:AY$1010,(($A$19:$A$1010=$A9)*(AY$19:AY$1010&lt;&gt;0)*(AY$19:AY$1010&lt;&gt;"F"))))),"")</f>
        <v>HO</v>
      </c>
      <c r="AZ9" s="46" t="str" cm="1">
        <f t="array" ref="AZ9">+IFERROR(_xlfn.CONCAT(_xlfn.UNIQUE(_xlfn._xlws.FILTER(AZ$19:AZ$1010,(($A$19:$A$1010=$A9)*(AZ$19:AZ$1010&lt;&gt;0)*(AZ$19:AZ$1010&lt;&gt;"F"))))),"")</f>
        <v>HO</v>
      </c>
      <c r="BA9" s="46" t="str" cm="1">
        <f t="array" ref="BA9">+IFERROR(_xlfn.CONCAT(_xlfn.UNIQUE(_xlfn._xlws.FILTER(BA$19:BA$1010,(($A$19:$A$1010=$A9)*(BA$19:BA$1010&lt;&gt;0)*(BA$19:BA$1010&lt;&gt;"F"))))),"")</f>
        <v>HO</v>
      </c>
      <c r="BB9" s="47" t="str" cm="1">
        <f t="array" ref="BB9">+IFERROR(_xlfn.CONCAT(_xlfn.UNIQUE(_xlfn._xlws.FILTER(BB$19:BB$1010,(($A$19:$A$1010=$A9)*(BB$19:BB$1010&lt;&gt;0)*(BB$19:BB$1010&lt;&gt;"F"))))),"")</f>
        <v>OA</v>
      </c>
      <c r="BC9" s="45" t="str" cm="1">
        <f t="array" ref="BC9">+IFERROR(_xlfn.CONCAT(_xlfn.UNIQUE(_xlfn._xlws.FILTER(BC$19:BC$1010,(($A$19:$A$1010=$A9)*(BC$19:BC$1010&lt;&gt;0)*(BC$19:BC$1010&lt;&gt;"F"))))),"")</f>
        <v>OA</v>
      </c>
      <c r="BD9" s="46" t="str" cm="1">
        <f t="array" ref="BD9">+IFERROR(_xlfn.CONCAT(_xlfn.UNIQUE(_xlfn._xlws.FILTER(BD$19:BD$1010,(($A$19:$A$1010=$A9)*(BD$19:BD$1010&lt;&gt;0)*(BD$19:BD$1010&lt;&gt;"F"))))),"")</f>
        <v>OA</v>
      </c>
      <c r="BE9" s="46" t="str" cm="1">
        <f t="array" ref="BE9">+IFERROR(_xlfn.CONCAT(_xlfn.UNIQUE(_xlfn._xlws.FILTER(BE$19:BE$1010,(($A$19:$A$1010=$A9)*(BE$19:BE$1010&lt;&gt;0)*(BE$19:BE$1010&lt;&gt;"F"))))),"")</f>
        <v>OA</v>
      </c>
      <c r="BF9" s="47" t="str" cm="1">
        <f t="array" ref="BF9">+IFERROR(_xlfn.CONCAT(_xlfn.UNIQUE(_xlfn._xlws.FILTER(BF$19:BF$1010,(($A$19:$A$1010=$A9)*(BF$19:BF$1010&lt;&gt;0)*(BF$19:BF$1010&lt;&gt;"F"))))),"")</f>
        <v>EN</v>
      </c>
      <c r="BG9" s="45" t="str" cm="1">
        <f t="array" ref="BG9">+IFERROR(_xlfn.CONCAT(_xlfn.UNIQUE(_xlfn._xlws.FILTER(BG$19:BG$1010,(($A$19:$A$1010=$A9)*(BG$19:BG$1010&lt;&gt;0)*(BG$19:BG$1010&lt;&gt;"F"))))),"")</f>
        <v/>
      </c>
      <c r="BH9" s="46" t="str" cm="1">
        <f t="array" ref="BH9">+IFERROR(_xlfn.CONCAT(_xlfn.UNIQUE(_xlfn._xlws.FILTER(BH$19:BH$1010,(($A$19:$A$1010=$A9)*(BH$19:BH$1010&lt;&gt;0)*(BH$19:BH$1010&lt;&gt;"F"))))),"")</f>
        <v/>
      </c>
      <c r="BI9" s="46" t="str" cm="1">
        <f t="array" ref="BI9">+IFERROR(_xlfn.CONCAT(_xlfn.UNIQUE(_xlfn._xlws.FILTER(BI$19:BI$1010,(($A$19:$A$1010=$A9)*(BI$19:BI$1010&lt;&gt;0)*(BI$19:BI$1010&lt;&gt;"F"))))),"")</f>
        <v/>
      </c>
      <c r="BJ9" s="46" t="str" cm="1">
        <f t="array" ref="BJ9">+IFERROR(_xlfn.CONCAT(_xlfn.UNIQUE(_xlfn._xlws.FILTER(BJ$19:BJ$1010,(($A$19:$A$1010=$A9)*(BJ$19:BJ$1010&lt;&gt;0)*(BJ$19:BJ$1010&lt;&gt;"F"))))),"")</f>
        <v/>
      </c>
      <c r="BK9" s="47" t="str" cm="1">
        <f t="array" ref="BK9">+IFERROR(_xlfn.CONCAT(_xlfn.UNIQUE(_xlfn._xlws.FILTER(BK$19:BK$1010,(($A$19:$A$1010=$A9)*(BK$19:BK$1010&lt;&gt;0)*(BK$19:BK$1010&lt;&gt;"F"))))),"")</f>
        <v/>
      </c>
      <c r="BL9" s="45" t="str" cm="1">
        <f t="array" ref="BL9">+IFERROR(_xlfn.CONCAT(_xlfn.UNIQUE(_xlfn._xlws.FILTER(BL$19:BL$1010,(($A$19:$A$1010=$A9)*(BL$19:BL$1010&lt;&gt;0)*(BL$19:BL$1010&lt;&gt;"F"))))),"")</f>
        <v/>
      </c>
      <c r="BM9" s="46" t="str" cm="1">
        <f t="array" ref="BM9">+IFERROR(_xlfn.CONCAT(_xlfn.UNIQUE(_xlfn._xlws.FILTER(BM$19:BM$1010,(($A$19:$A$1010=$A9)*(BM$19:BM$1010&lt;&gt;0)*(BM$19:BM$1010&lt;&gt;"F"))))),"")</f>
        <v/>
      </c>
      <c r="BN9" s="46" t="str" cm="1">
        <f t="array" ref="BN9">+IFERROR(_xlfn.CONCAT(_xlfn.UNIQUE(_xlfn._xlws.FILTER(BN$19:BN$1010,(($A$19:$A$1010=$A9)*(BN$19:BN$1010&lt;&gt;0)*(BN$19:BN$1010&lt;&gt;"F"))))),"")</f>
        <v/>
      </c>
      <c r="BO9" s="47" t="str" cm="1">
        <f t="array" ref="BO9">+IFERROR(_xlfn.CONCAT(_xlfn.UNIQUE(_xlfn._xlws.FILTER(BO$19:BO$1010,(($A$19:$A$1010=$A9)*(BO$19:BO$1010&lt;&gt;0)*(BO$19:BO$1010&lt;&gt;"F"))))),"")</f>
        <v/>
      </c>
      <c r="BP9" s="45" t="str" cm="1">
        <f t="array" ref="BP9">+IFERROR(_xlfn.CONCAT(_xlfn.UNIQUE(_xlfn._xlws.FILTER(BP$19:BP$1010,(($A$19:$A$1010=$A9)*(BP$19:BP$1010&lt;&gt;0)*(BP$19:BP$1010&lt;&gt;"F"))))),"")</f>
        <v/>
      </c>
      <c r="BQ9" s="46" t="str" cm="1">
        <f t="array" ref="BQ9">+IFERROR(_xlfn.CONCAT(_xlfn.UNIQUE(_xlfn._xlws.FILTER(BQ$19:BQ$1010,(($A$19:$A$1010=$A9)*(BQ$19:BQ$1010&lt;&gt;0)*(BQ$19:BQ$1010&lt;&gt;"F"))))),"")</f>
        <v/>
      </c>
      <c r="BR9" s="46" t="str" cm="1">
        <f t="array" ref="BR9">+IFERROR(_xlfn.CONCAT(_xlfn.UNIQUE(_xlfn._xlws.FILTER(BR$19:BR$1010,(($A$19:$A$1010=$A9)*(BR$19:BR$1010&lt;&gt;0)*(BR$19:BR$1010&lt;&gt;"F"))))),"")</f>
        <v/>
      </c>
      <c r="BS9" s="47" t="str" cm="1">
        <f t="array" ref="BS9">+IFERROR(_xlfn.CONCAT(_xlfn.UNIQUE(_xlfn._xlws.FILTER(BS$19:BS$1010,(($A$19:$A$1010=$A9)*(BS$19:BS$1010&lt;&gt;0)*(BS$19:BS$1010&lt;&gt;"F"))))),"")</f>
        <v/>
      </c>
    </row>
    <row r="10" spans="1:71" s="13" customFormat="1" ht="39.9" customHeight="1" x14ac:dyDescent="0.3">
      <c r="A10" s="57" t="str">
        <v>IMPLANTACAO DO SISTEMA DE TORRE DE MONITORAMENTO - FASE 2</v>
      </c>
      <c r="B10" s="27"/>
      <c r="C10" s="28">
        <v>6900000</v>
      </c>
      <c r="D10" s="29" t="str">
        <v>Implantação</v>
      </c>
      <c r="E10" s="29" t="str">
        <v>Implantação Sistema Terceiro</v>
      </c>
      <c r="F10" s="29" t="str">
        <v>Alta</v>
      </c>
      <c r="G10" s="45" t="str" cm="1">
        <f t="array" ref="G10">+IFERROR(_xlfn.CONCAT(_xlfn.UNIQUE(_xlfn._xlws.FILTER(G$19:G$1010,(($A$19:$A$1010=$A10)*(G$19:G$1010&lt;&gt;0)*(G$19:G$1010&lt;&gt;"F"))))),"")</f>
        <v/>
      </c>
      <c r="H10" s="46" t="str" cm="1">
        <f t="array" ref="H10">+IFERROR(_xlfn.CONCAT(_xlfn.UNIQUE(_xlfn._xlws.FILTER(H$19:H$1010,(($A$19:$A$1010=$A10)*(H$19:H$1010&lt;&gt;0)*(H$19:H$1010&lt;&gt;"F"))))),"")</f>
        <v/>
      </c>
      <c r="I10" s="46" t="str" cm="1">
        <f t="array" ref="I10">+IFERROR(_xlfn.CONCAT(_xlfn.UNIQUE(_xlfn._xlws.FILTER(I$19:I$1010,(($A$19:$A$1010=$A10)*(I$19:I$1010&lt;&gt;0)*(I$19:I$1010&lt;&gt;"F"))))),"")</f>
        <v/>
      </c>
      <c r="J10" s="46" t="str" cm="1">
        <f t="array" ref="J10">+IFERROR(_xlfn.CONCAT(_xlfn.UNIQUE(_xlfn._xlws.FILTER(J$19:J$1010,(($A$19:$A$1010=$A10)*(J$19:J$1010&lt;&gt;0)*(J$19:J$1010&lt;&gt;"F"))))),"")</f>
        <v/>
      </c>
      <c r="K10" s="47" t="str" cm="1">
        <f t="array" ref="K10">+IFERROR(_xlfn.CONCAT(_xlfn.UNIQUE(_xlfn._xlws.FILTER(K$19:K$1010,(($A$19:$A$1010=$A10)*(K$19:K$1010&lt;&gt;0)*(K$19:K$1010&lt;&gt;"F"))))),"")</f>
        <v/>
      </c>
      <c r="L10" s="45" t="str" cm="1">
        <f t="array" ref="L10">+IFERROR(_xlfn.CONCAT(_xlfn.UNIQUE(_xlfn._xlws.FILTER(L$19:L$1010,(($A$19:$A$1010=$A10)*(L$19:L$1010&lt;&gt;0)*(L$19:L$1010&lt;&gt;"F"))))),"")</f>
        <v/>
      </c>
      <c r="M10" s="46" t="str" cm="1">
        <f t="array" ref="M10">+IFERROR(_xlfn.CONCAT(_xlfn.UNIQUE(_xlfn._xlws.FILTER(M$19:M$1010,(($A$19:$A$1010=$A10)*(M$19:M$1010&lt;&gt;0)*(M$19:M$1010&lt;&gt;"F"))))),"")</f>
        <v/>
      </c>
      <c r="N10" s="46" t="str" cm="1">
        <f t="array" ref="N10">+IFERROR(_xlfn.CONCAT(_xlfn.UNIQUE(_xlfn._xlws.FILTER(N$19:N$1010,(($A$19:$A$1010=$A10)*(N$19:N$1010&lt;&gt;0)*(N$19:N$1010&lt;&gt;"F"))))),"")</f>
        <v/>
      </c>
      <c r="O10" s="47" t="str" cm="1">
        <f t="array" ref="O10">+IFERROR(_xlfn.CONCAT(_xlfn.UNIQUE(_xlfn._xlws.FILTER(O$19:O$1010,(($A$19:$A$1010=$A10)*(O$19:O$1010&lt;&gt;0)*(O$19:O$1010&lt;&gt;"F"))))),"")</f>
        <v/>
      </c>
      <c r="P10" s="45" t="str" cm="1">
        <f t="array" ref="P10">+IFERROR(_xlfn.CONCAT(_xlfn.UNIQUE(_xlfn._xlws.FILTER(P$19:P$1010,(($A$19:$A$1010=$A10)*(P$19:P$1010&lt;&gt;0)*(P$19:P$1010&lt;&gt;"F"))))),"")</f>
        <v/>
      </c>
      <c r="Q10" s="46" t="str" cm="1">
        <f t="array" ref="Q10">+IFERROR(_xlfn.CONCAT(_xlfn.UNIQUE(_xlfn._xlws.FILTER(Q$19:Q$1010,(($A$19:$A$1010=$A10)*(Q$19:Q$1010&lt;&gt;0)*(Q$19:Q$1010&lt;&gt;"F"))))),"")</f>
        <v/>
      </c>
      <c r="R10" s="46" t="str" cm="1">
        <f t="array" ref="R10">+IFERROR(_xlfn.CONCAT(_xlfn.UNIQUE(_xlfn._xlws.FILTER(R$19:R$1010,(($A$19:$A$1010=$A10)*(R$19:R$1010&lt;&gt;0)*(R$19:R$1010&lt;&gt;"F"))))),"")</f>
        <v/>
      </c>
      <c r="S10" s="47" t="str" cm="1">
        <f t="array" ref="S10">+IFERROR(_xlfn.CONCAT(_xlfn.UNIQUE(_xlfn._xlws.FILTER(S$19:S$1010,(($A$19:$A$1010=$A10)*(S$19:S$1010&lt;&gt;0)*(S$19:S$1010&lt;&gt;"F"))))),"")</f>
        <v/>
      </c>
      <c r="T10" s="45" t="str" cm="1">
        <f t="array" ref="T10">+IFERROR(_xlfn.CONCAT(_xlfn.UNIQUE(_xlfn._xlws.FILTER(T$19:T$1010,(($A$19:$A$1010=$A10)*(T$19:T$1010&lt;&gt;0)*(T$19:T$1010&lt;&gt;"F"))))),"")</f>
        <v/>
      </c>
      <c r="U10" s="46" t="str" cm="1">
        <f t="array" ref="U10">+IFERROR(_xlfn.CONCAT(_xlfn.UNIQUE(_xlfn._xlws.FILTER(U$19:U$1010,(($A$19:$A$1010=$A10)*(U$19:U$1010&lt;&gt;0)*(U$19:U$1010&lt;&gt;"F"))))),"")</f>
        <v/>
      </c>
      <c r="V10" s="46" t="str" cm="1">
        <f t="array" ref="V10">+IFERROR(_xlfn.CONCAT(_xlfn.UNIQUE(_xlfn._xlws.FILTER(V$19:V$1010,(($A$19:$A$1010=$A10)*(V$19:V$1010&lt;&gt;0)*(V$19:V$1010&lt;&gt;"F"))))),"")</f>
        <v/>
      </c>
      <c r="W10" s="46" t="str" cm="1">
        <f t="array" ref="W10">+IFERROR(_xlfn.CONCAT(_xlfn.UNIQUE(_xlfn._xlws.FILTER(W$19:W$1010,(($A$19:$A$1010=$A10)*(W$19:W$1010&lt;&gt;0)*(W$19:W$1010&lt;&gt;"F"))))),"")</f>
        <v/>
      </c>
      <c r="X10" s="47" t="str" cm="1">
        <f t="array" ref="X10">+IFERROR(_xlfn.CONCAT(_xlfn.UNIQUE(_xlfn._xlws.FILTER(X$19:X$1010,(($A$19:$A$1010=$A10)*(X$19:X$1010&lt;&gt;0)*(X$19:X$1010&lt;&gt;"F"))))),"")</f>
        <v/>
      </c>
      <c r="Y10" s="45" t="str" cm="1">
        <f t="array" ref="Y10">+IFERROR(_xlfn.CONCAT(_xlfn.UNIQUE(_xlfn._xlws.FILTER(Y$19:Y$1010,(($A$19:$A$1010=$A10)*(Y$19:Y$1010&lt;&gt;0)*(Y$19:Y$1010&lt;&gt;"F"))))),"")</f>
        <v/>
      </c>
      <c r="Z10" s="46" t="str" cm="1">
        <f t="array" ref="Z10">+IFERROR(_xlfn.CONCAT(_xlfn.UNIQUE(_xlfn._xlws.FILTER(Z$19:Z$1010,(($A$19:$A$1010=$A10)*(Z$19:Z$1010&lt;&gt;0)*(Z$19:Z$1010&lt;&gt;"F"))))),"")</f>
        <v/>
      </c>
      <c r="AA10" s="46" t="str" cm="1">
        <f t="array" ref="AA10">+IFERROR(_xlfn.CONCAT(_xlfn.UNIQUE(_xlfn._xlws.FILTER(AA$19:AA$1010,(($A$19:$A$1010=$A10)*(AA$19:AA$1010&lt;&gt;0)*(AA$19:AA$1010&lt;&gt;"F"))))),"")</f>
        <v/>
      </c>
      <c r="AB10" s="47" t="str" cm="1">
        <f t="array" ref="AB10">+IFERROR(_xlfn.CONCAT(_xlfn.UNIQUE(_xlfn._xlws.FILTER(AB$19:AB$1010,(($A$19:$A$1010=$A10)*(AB$19:AB$1010&lt;&gt;0)*(AB$19:AB$1010&lt;&gt;"F"))))),"")</f>
        <v/>
      </c>
      <c r="AC10" s="45" t="str" cm="1">
        <f t="array" ref="AC10">+IFERROR(_xlfn.CONCAT(_xlfn.UNIQUE(_xlfn._xlws.FILTER(AC$19:AC$1010,(($A$19:$A$1010=$A10)*(AC$19:AC$1010&lt;&gt;0)*(AC$19:AC$1010&lt;&gt;"F"))))),"")</f>
        <v/>
      </c>
      <c r="AD10" s="46" t="str" cm="1">
        <f t="array" ref="AD10">+IFERROR(_xlfn.CONCAT(_xlfn.UNIQUE(_xlfn._xlws.FILTER(AD$19:AD$1010,(($A$19:$A$1010=$A10)*(AD$19:AD$1010&lt;&gt;0)*(AD$19:AD$1010&lt;&gt;"F"))))),"")</f>
        <v/>
      </c>
      <c r="AE10" s="46" t="str" cm="1">
        <f t="array" ref="AE10">+IFERROR(_xlfn.CONCAT(_xlfn.UNIQUE(_xlfn._xlws.FILTER(AE$19:AE$1010,(($A$19:$A$1010=$A10)*(AE$19:AE$1010&lt;&gt;0)*(AE$19:AE$1010&lt;&gt;"F"))))),"")</f>
        <v/>
      </c>
      <c r="AF10" s="47" t="str" cm="1">
        <f t="array" ref="AF10">+IFERROR(_xlfn.CONCAT(_xlfn.UNIQUE(_xlfn._xlws.FILTER(AF$19:AF$1010,(($A$19:$A$1010=$A10)*(AF$19:AF$1010&lt;&gt;0)*(AF$19:AF$1010&lt;&gt;"F"))))),"")</f>
        <v/>
      </c>
      <c r="AG10" s="45" t="str" cm="1">
        <f t="array" ref="AG10">+IFERROR(_xlfn.CONCAT(_xlfn.UNIQUE(_xlfn._xlws.FILTER(AG$19:AG$1010,(($A$19:$A$1010=$A10)*(AG$19:AG$1010&lt;&gt;0)*(AG$19:AG$1010&lt;&gt;"F"))))),"")</f>
        <v/>
      </c>
      <c r="AH10" s="46" t="str" cm="1">
        <f t="array" ref="AH10">+IFERROR(_xlfn.CONCAT(_xlfn.UNIQUE(_xlfn._xlws.FILTER(AH$19:AH$1010,(($A$19:$A$1010=$A10)*(AH$19:AH$1010&lt;&gt;0)*(AH$19:AH$1010&lt;&gt;"F"))))),"")</f>
        <v/>
      </c>
      <c r="AI10" s="46" t="str" cm="1">
        <f t="array" ref="AI10">+IFERROR(_xlfn.CONCAT(_xlfn.UNIQUE(_xlfn._xlws.FILTER(AI$19:AI$1010,(($A$19:$A$1010=$A10)*(AI$19:AI$1010&lt;&gt;0)*(AI$19:AI$1010&lt;&gt;"F"))))),"")</f>
        <v/>
      </c>
      <c r="AJ10" s="46" t="str" cm="1">
        <f t="array" ref="AJ10">+IFERROR(_xlfn.CONCAT(_xlfn.UNIQUE(_xlfn._xlws.FILTER(AJ$19:AJ$1010,(($A$19:$A$1010=$A10)*(AJ$19:AJ$1010&lt;&gt;0)*(AJ$19:AJ$1010&lt;&gt;"F"))))),"")</f>
        <v/>
      </c>
      <c r="AK10" s="47" t="str" cm="1">
        <f t="array" ref="AK10">+IFERROR(_xlfn.CONCAT(_xlfn.UNIQUE(_xlfn._xlws.FILTER(AK$19:AK$1010,(($A$19:$A$1010=$A10)*(AK$19:AK$1010&lt;&gt;0)*(AK$19:AK$1010&lt;&gt;"F"))))),"")</f>
        <v/>
      </c>
      <c r="AL10" s="45" t="str" cm="1">
        <f t="array" ref="AL10">+IFERROR(_xlfn.CONCAT(_xlfn.UNIQUE(_xlfn._xlws.FILTER(AL$19:AL$1010,(($A$19:$A$1010=$A10)*(AL$19:AL$1010&lt;&gt;0)*(AL$19:AL$1010&lt;&gt;"F"))))),"")</f>
        <v/>
      </c>
      <c r="AM10" s="46" t="str" cm="1">
        <f t="array" ref="AM10">+IFERROR(_xlfn.CONCAT(_xlfn.UNIQUE(_xlfn._xlws.FILTER(AM$19:AM$1010,(($A$19:$A$1010=$A10)*(AM$19:AM$1010&lt;&gt;0)*(AM$19:AM$1010&lt;&gt;"F"))))),"")</f>
        <v/>
      </c>
      <c r="AN10" s="46" t="str" cm="1">
        <f t="array" ref="AN10">+IFERROR(_xlfn.CONCAT(_xlfn.UNIQUE(_xlfn._xlws.FILTER(AN$19:AN$1010,(($A$19:$A$1010=$A10)*(AN$19:AN$1010&lt;&gt;0)*(AN$19:AN$1010&lt;&gt;"F"))))),"")</f>
        <v/>
      </c>
      <c r="AO10" s="47" t="str" cm="1">
        <f t="array" ref="AO10">+IFERROR(_xlfn.CONCAT(_xlfn.UNIQUE(_xlfn._xlws.FILTER(AO$19:AO$1010,(($A$19:$A$1010=$A10)*(AO$19:AO$1010&lt;&gt;0)*(AO$19:AO$1010&lt;&gt;"F"))))),"")</f>
        <v/>
      </c>
      <c r="AP10" s="45" t="str" cm="1">
        <f t="array" ref="AP10">+IFERROR(_xlfn.CONCAT(_xlfn.UNIQUE(_xlfn._xlws.FILTER(AP$19:AP$1010,(($A$19:$A$1010=$A10)*(AP$19:AP$1010&lt;&gt;0)*(AP$19:AP$1010&lt;&gt;"F"))))),"")</f>
        <v/>
      </c>
      <c r="AQ10" s="46" t="str" cm="1">
        <f t="array" ref="AQ10">+IFERROR(_xlfn.CONCAT(_xlfn.UNIQUE(_xlfn._xlws.FILTER(AQ$19:AQ$1010,(($A$19:$A$1010=$A10)*(AQ$19:AQ$1010&lt;&gt;0)*(AQ$19:AQ$1010&lt;&gt;"F"))))),"")</f>
        <v/>
      </c>
      <c r="AR10" s="46" t="str" cm="1">
        <f t="array" ref="AR10">+IFERROR(_xlfn.CONCAT(_xlfn.UNIQUE(_xlfn._xlws.FILTER(AR$19:AR$1010,(($A$19:$A$1010=$A10)*(AR$19:AR$1010&lt;&gt;0)*(AR$19:AR$1010&lt;&gt;"F"))))),"")</f>
        <v/>
      </c>
      <c r="AS10" s="47" t="str" cm="1">
        <f t="array" ref="AS10">+IFERROR(_xlfn.CONCAT(_xlfn.UNIQUE(_xlfn._xlws.FILTER(AS$19:AS$1010,(($A$19:$A$1010=$A10)*(AS$19:AS$1010&lt;&gt;0)*(AS$19:AS$1010&lt;&gt;"F"))))),"")</f>
        <v/>
      </c>
      <c r="AT10" s="45" t="str" cm="1">
        <f t="array" ref="AT10">+IFERROR(_xlfn.CONCAT(_xlfn.UNIQUE(_xlfn._xlws.FILTER(AT$19:AT$1010,(($A$19:$A$1010=$A10)*(AT$19:AT$1010&lt;&gt;0)*(AT$19:AT$1010&lt;&gt;"F"))))),"")</f>
        <v/>
      </c>
      <c r="AU10" s="46" t="str" cm="1">
        <f t="array" ref="AU10">+IFERROR(_xlfn.CONCAT(_xlfn.UNIQUE(_xlfn._xlws.FILTER(AU$19:AU$1010,(($A$19:$A$1010=$A10)*(AU$19:AU$1010&lt;&gt;0)*(AU$19:AU$1010&lt;&gt;"F"))))),"")</f>
        <v/>
      </c>
      <c r="AV10" s="46" t="str" cm="1">
        <f t="array" ref="AV10">+IFERROR(_xlfn.CONCAT(_xlfn.UNIQUE(_xlfn._xlws.FILTER(AV$19:AV$1010,(($A$19:$A$1010=$A10)*(AV$19:AV$1010&lt;&gt;0)*(AV$19:AV$1010&lt;&gt;"F"))))),"")</f>
        <v/>
      </c>
      <c r="AW10" s="46" t="str" cm="1">
        <f t="array" ref="AW10">+IFERROR(_xlfn.CONCAT(_xlfn.UNIQUE(_xlfn._xlws.FILTER(AW$19:AW$1010,(($A$19:$A$1010=$A10)*(AW$19:AW$1010&lt;&gt;0)*(AW$19:AW$1010&lt;&gt;"F"))))),"")</f>
        <v/>
      </c>
      <c r="AX10" s="47" t="str" cm="1">
        <f t="array" ref="AX10">+IFERROR(_xlfn.CONCAT(_xlfn.UNIQUE(_xlfn._xlws.FILTER(AX$19:AX$1010,(($A$19:$A$1010=$A10)*(AX$19:AX$1010&lt;&gt;0)*(AX$19:AX$1010&lt;&gt;"F"))))),"")</f>
        <v/>
      </c>
      <c r="AY10" s="45" t="str" cm="1">
        <f t="array" ref="AY10">+IFERROR(_xlfn.CONCAT(_xlfn.UNIQUE(_xlfn._xlws.FILTER(AY$19:AY$1010,(($A$19:$A$1010=$A10)*(AY$19:AY$1010&lt;&gt;0)*(AY$19:AY$1010&lt;&gt;"F"))))),"")</f>
        <v/>
      </c>
      <c r="AZ10" s="46" t="str" cm="1">
        <f t="array" ref="AZ10">+IFERROR(_xlfn.CONCAT(_xlfn.UNIQUE(_xlfn._xlws.FILTER(AZ$19:AZ$1010,(($A$19:$A$1010=$A10)*(AZ$19:AZ$1010&lt;&gt;0)*(AZ$19:AZ$1010&lt;&gt;"F"))))),"")</f>
        <v/>
      </c>
      <c r="BA10" s="46" t="str" cm="1">
        <f t="array" ref="BA10">+IFERROR(_xlfn.CONCAT(_xlfn.UNIQUE(_xlfn._xlws.FILTER(BA$19:BA$1010,(($A$19:$A$1010=$A10)*(BA$19:BA$1010&lt;&gt;0)*(BA$19:BA$1010&lt;&gt;"F"))))),"")</f>
        <v/>
      </c>
      <c r="BB10" s="47" t="str" cm="1">
        <f t="array" ref="BB10">+IFERROR(_xlfn.CONCAT(_xlfn.UNIQUE(_xlfn._xlws.FILTER(BB$19:BB$1010,(($A$19:$A$1010=$A10)*(BB$19:BB$1010&lt;&gt;0)*(BB$19:BB$1010&lt;&gt;"F"))))),"")</f>
        <v/>
      </c>
      <c r="BC10" s="45" t="str" cm="1">
        <f t="array" ref="BC10">+IFERROR(_xlfn.CONCAT(_xlfn.UNIQUE(_xlfn._xlws.FILTER(BC$19:BC$1010,(($A$19:$A$1010=$A10)*(BC$19:BC$1010&lt;&gt;0)*(BC$19:BC$1010&lt;&gt;"F"))))),"")</f>
        <v/>
      </c>
      <c r="BD10" s="46" t="str" cm="1">
        <f t="array" ref="BD10">+IFERROR(_xlfn.CONCAT(_xlfn.UNIQUE(_xlfn._xlws.FILTER(BD$19:BD$1010,(($A$19:$A$1010=$A10)*(BD$19:BD$1010&lt;&gt;0)*(BD$19:BD$1010&lt;&gt;"F"))))),"")</f>
        <v/>
      </c>
      <c r="BE10" s="46" t="str" cm="1">
        <f t="array" ref="BE10">+IFERROR(_xlfn.CONCAT(_xlfn.UNIQUE(_xlfn._xlws.FILTER(BE$19:BE$1010,(($A$19:$A$1010=$A10)*(BE$19:BE$1010&lt;&gt;0)*(BE$19:BE$1010&lt;&gt;"F"))))),"")</f>
        <v/>
      </c>
      <c r="BF10" s="47" t="str" cm="1">
        <f t="array" ref="BF10">+IFERROR(_xlfn.CONCAT(_xlfn.UNIQUE(_xlfn._xlws.FILTER(BF$19:BF$1010,(($A$19:$A$1010=$A10)*(BF$19:BF$1010&lt;&gt;0)*(BF$19:BF$1010&lt;&gt;"F"))))),"")</f>
        <v/>
      </c>
      <c r="BG10" s="45" t="str" cm="1">
        <f t="array" ref="BG10">+IFERROR(_xlfn.CONCAT(_xlfn.UNIQUE(_xlfn._xlws.FILTER(BG$19:BG$1010,(($A$19:$A$1010=$A10)*(BG$19:BG$1010&lt;&gt;0)*(BG$19:BG$1010&lt;&gt;"F"))))),"")</f>
        <v/>
      </c>
      <c r="BH10" s="46" t="str" cm="1">
        <f t="array" ref="BH10">+IFERROR(_xlfn.CONCAT(_xlfn.UNIQUE(_xlfn._xlws.FILTER(BH$19:BH$1010,(($A$19:$A$1010=$A10)*(BH$19:BH$1010&lt;&gt;0)*(BH$19:BH$1010&lt;&gt;"F"))))),"")</f>
        <v/>
      </c>
      <c r="BI10" s="46" t="str" cm="1">
        <f t="array" ref="BI10">+IFERROR(_xlfn.CONCAT(_xlfn.UNIQUE(_xlfn._xlws.FILTER(BI$19:BI$1010,(($A$19:$A$1010=$A10)*(BI$19:BI$1010&lt;&gt;0)*(BI$19:BI$1010&lt;&gt;"F"))))),"")</f>
        <v/>
      </c>
      <c r="BJ10" s="46" t="str" cm="1">
        <f t="array" ref="BJ10">+IFERROR(_xlfn.CONCAT(_xlfn.UNIQUE(_xlfn._xlws.FILTER(BJ$19:BJ$1010,(($A$19:$A$1010=$A10)*(BJ$19:BJ$1010&lt;&gt;0)*(BJ$19:BJ$1010&lt;&gt;"F"))))),"")</f>
        <v/>
      </c>
      <c r="BK10" s="47" t="str" cm="1">
        <f t="array" ref="BK10">+IFERROR(_xlfn.CONCAT(_xlfn.UNIQUE(_xlfn._xlws.FILTER(BK$19:BK$1010,(($A$19:$A$1010=$A10)*(BK$19:BK$1010&lt;&gt;0)*(BK$19:BK$1010&lt;&gt;"F"))))),"")</f>
        <v/>
      </c>
      <c r="BL10" s="45" t="str" cm="1">
        <f t="array" ref="BL10">+IFERROR(_xlfn.CONCAT(_xlfn.UNIQUE(_xlfn._xlws.FILTER(BL$19:BL$1010,(($A$19:$A$1010=$A10)*(BL$19:BL$1010&lt;&gt;0)*(BL$19:BL$1010&lt;&gt;"F"))))),"")</f>
        <v/>
      </c>
      <c r="BM10" s="46" t="str" cm="1">
        <f t="array" ref="BM10">+IFERROR(_xlfn.CONCAT(_xlfn.UNIQUE(_xlfn._xlws.FILTER(BM$19:BM$1010,(($A$19:$A$1010=$A10)*(BM$19:BM$1010&lt;&gt;0)*(BM$19:BM$1010&lt;&gt;"F"))))),"")</f>
        <v/>
      </c>
      <c r="BN10" s="46" t="str" cm="1">
        <f t="array" ref="BN10">+IFERROR(_xlfn.CONCAT(_xlfn.UNIQUE(_xlfn._xlws.FILTER(BN$19:BN$1010,(($A$19:$A$1010=$A10)*(BN$19:BN$1010&lt;&gt;0)*(BN$19:BN$1010&lt;&gt;"F"))))),"")</f>
        <v/>
      </c>
      <c r="BO10" s="47" t="str" cm="1">
        <f t="array" ref="BO10">+IFERROR(_xlfn.CONCAT(_xlfn.UNIQUE(_xlfn._xlws.FILTER(BO$19:BO$1010,(($A$19:$A$1010=$A10)*(BO$19:BO$1010&lt;&gt;0)*(BO$19:BO$1010&lt;&gt;"F"))))),"")</f>
        <v/>
      </c>
      <c r="BP10" s="45" t="str" cm="1">
        <f t="array" ref="BP10">+IFERROR(_xlfn.CONCAT(_xlfn.UNIQUE(_xlfn._xlws.FILTER(BP$19:BP$1010,(($A$19:$A$1010=$A10)*(BP$19:BP$1010&lt;&gt;0)*(BP$19:BP$1010&lt;&gt;"F"))))),"")</f>
        <v/>
      </c>
      <c r="BQ10" s="46" t="str" cm="1">
        <f t="array" ref="BQ10">+IFERROR(_xlfn.CONCAT(_xlfn.UNIQUE(_xlfn._xlws.FILTER(BQ$19:BQ$1010,(($A$19:$A$1010=$A10)*(BQ$19:BQ$1010&lt;&gt;0)*(BQ$19:BQ$1010&lt;&gt;"F"))))),"")</f>
        <v/>
      </c>
      <c r="BR10" s="46" t="str" cm="1">
        <f t="array" ref="BR10">+IFERROR(_xlfn.CONCAT(_xlfn.UNIQUE(_xlfn._xlws.FILTER(BR$19:BR$1010,(($A$19:$A$1010=$A10)*(BR$19:BR$1010&lt;&gt;0)*(BR$19:BR$1010&lt;&gt;"F"))))),"")</f>
        <v/>
      </c>
      <c r="BS10" s="47" t="str" cm="1">
        <f t="array" ref="BS10">+IFERROR(_xlfn.CONCAT(_xlfn.UNIQUE(_xlfn._xlws.FILTER(BS$19:BS$1010,(($A$19:$A$1010=$A10)*(BS$19:BS$1010&lt;&gt;0)*(BS$19:BS$1010&lt;&gt;"F"))))),"")</f>
        <v/>
      </c>
    </row>
    <row r="11" spans="1:71" s="13" customFormat="1" ht="39.9" customHeight="1" x14ac:dyDescent="0.3">
      <c r="A11" s="57" t="str">
        <v>CENTRAL DE CADASTRO</v>
      </c>
      <c r="B11" s="27"/>
      <c r="C11" s="28">
        <v>0</v>
      </c>
      <c r="D11" s="29" t="str">
        <v>Melhoria de Processo</v>
      </c>
      <c r="E11" s="29" t="str">
        <v>Evolução, Melhoria ou Adequação</v>
      </c>
      <c r="F11" s="29" t="str">
        <v>Alta</v>
      </c>
      <c r="G11" s="45" t="str" cm="1">
        <f t="array" ref="G11">+IFERROR(_xlfn.CONCAT(_xlfn.UNIQUE(_xlfn._xlws.FILTER(G$19:G$1010,(($A$19:$A$1010=$A11)*(G$19:G$1010&lt;&gt;0)*(G$19:G$1010&lt;&gt;"F"))))),"")</f>
        <v/>
      </c>
      <c r="H11" s="46" t="str" cm="1">
        <f t="array" ref="H11">+IFERROR(_xlfn.CONCAT(_xlfn.UNIQUE(_xlfn._xlws.FILTER(H$19:H$1010,(($A$19:$A$1010=$A11)*(H$19:H$1010&lt;&gt;0)*(H$19:H$1010&lt;&gt;"F"))))),"")</f>
        <v/>
      </c>
      <c r="I11" s="46" t="str" cm="1">
        <f t="array" ref="I11">+IFERROR(_xlfn.CONCAT(_xlfn.UNIQUE(_xlfn._xlws.FILTER(I$19:I$1010,(($A$19:$A$1010=$A11)*(I$19:I$1010&lt;&gt;0)*(I$19:I$1010&lt;&gt;"F"))))),"")</f>
        <v/>
      </c>
      <c r="J11" s="46" t="str" cm="1">
        <f t="array" ref="J11">+IFERROR(_xlfn.CONCAT(_xlfn.UNIQUE(_xlfn._xlws.FILTER(J$19:J$1010,(($A$19:$A$1010=$A11)*(J$19:J$1010&lt;&gt;0)*(J$19:J$1010&lt;&gt;"F"))))),"")</f>
        <v/>
      </c>
      <c r="K11" s="47" t="str" cm="1">
        <f t="array" ref="K11">+IFERROR(_xlfn.CONCAT(_xlfn.UNIQUE(_xlfn._xlws.FILTER(K$19:K$1010,(($A$19:$A$1010=$A11)*(K$19:K$1010&lt;&gt;0)*(K$19:K$1010&lt;&gt;"F"))))),"")</f>
        <v/>
      </c>
      <c r="L11" s="45" t="str" cm="1">
        <f t="array" ref="L11">+IFERROR(_xlfn.CONCAT(_xlfn.UNIQUE(_xlfn._xlws.FILTER(L$19:L$1010,(($A$19:$A$1010=$A11)*(L$19:L$1010&lt;&gt;0)*(L$19:L$1010&lt;&gt;"F"))))),"")</f>
        <v/>
      </c>
      <c r="M11" s="46" t="str" cm="1">
        <f t="array" ref="M11">+IFERROR(_xlfn.CONCAT(_xlfn.UNIQUE(_xlfn._xlws.FILTER(M$19:M$1010,(($A$19:$A$1010=$A11)*(M$19:M$1010&lt;&gt;0)*(M$19:M$1010&lt;&gt;"F"))))),"")</f>
        <v/>
      </c>
      <c r="N11" s="46" t="str" cm="1">
        <f t="array" ref="N11">+IFERROR(_xlfn.CONCAT(_xlfn.UNIQUE(_xlfn._xlws.FILTER(N$19:N$1010,(($A$19:$A$1010=$A11)*(N$19:N$1010&lt;&gt;0)*(N$19:N$1010&lt;&gt;"F"))))),"")</f>
        <v/>
      </c>
      <c r="O11" s="47" t="str" cm="1">
        <f t="array" ref="O11">+IFERROR(_xlfn.CONCAT(_xlfn.UNIQUE(_xlfn._xlws.FILTER(O$19:O$1010,(($A$19:$A$1010=$A11)*(O$19:O$1010&lt;&gt;0)*(O$19:O$1010&lt;&gt;"F"))))),"")</f>
        <v/>
      </c>
      <c r="P11" s="45" t="str" cm="1">
        <f t="array" ref="P11">+IFERROR(_xlfn.CONCAT(_xlfn.UNIQUE(_xlfn._xlws.FILTER(P$19:P$1010,(($A$19:$A$1010=$A11)*(P$19:P$1010&lt;&gt;0)*(P$19:P$1010&lt;&gt;"F"))))),"")</f>
        <v/>
      </c>
      <c r="Q11" s="46" t="str" cm="1">
        <f t="array" ref="Q11">+IFERROR(_xlfn.CONCAT(_xlfn.UNIQUE(_xlfn._xlws.FILTER(Q$19:Q$1010,(($A$19:$A$1010=$A11)*(Q$19:Q$1010&lt;&gt;0)*(Q$19:Q$1010&lt;&gt;"F"))))),"")</f>
        <v/>
      </c>
      <c r="R11" s="46" t="str" cm="1">
        <f t="array" ref="R11">+IFERROR(_xlfn.CONCAT(_xlfn.UNIQUE(_xlfn._xlws.FILTER(R$19:R$1010,(($A$19:$A$1010=$A11)*(R$19:R$1010&lt;&gt;0)*(R$19:R$1010&lt;&gt;"F"))))),"")</f>
        <v/>
      </c>
      <c r="S11" s="47" t="str" cm="1">
        <f t="array" ref="S11">+IFERROR(_xlfn.CONCAT(_xlfn.UNIQUE(_xlfn._xlws.FILTER(S$19:S$1010,(($A$19:$A$1010=$A11)*(S$19:S$1010&lt;&gt;0)*(S$19:S$1010&lt;&gt;"F"))))),"")</f>
        <v/>
      </c>
      <c r="T11" s="45" t="str" cm="1">
        <f t="array" ref="T11">+IFERROR(_xlfn.CONCAT(_xlfn.UNIQUE(_xlfn._xlws.FILTER(T$19:T$1010,(($A$19:$A$1010=$A11)*(T$19:T$1010&lt;&gt;0)*(T$19:T$1010&lt;&gt;"F"))))),"")</f>
        <v/>
      </c>
      <c r="U11" s="46" t="str" cm="1">
        <f t="array" ref="U11">+IFERROR(_xlfn.CONCAT(_xlfn.UNIQUE(_xlfn._xlws.FILTER(U$19:U$1010,(($A$19:$A$1010=$A11)*(U$19:U$1010&lt;&gt;0)*(U$19:U$1010&lt;&gt;"F"))))),"")</f>
        <v/>
      </c>
      <c r="V11" s="46" t="str" cm="1">
        <f t="array" ref="V11">+IFERROR(_xlfn.CONCAT(_xlfn.UNIQUE(_xlfn._xlws.FILTER(V$19:V$1010,(($A$19:$A$1010=$A11)*(V$19:V$1010&lt;&gt;0)*(V$19:V$1010&lt;&gt;"F"))))),"")</f>
        <v/>
      </c>
      <c r="W11" s="46" t="str" cm="1">
        <f t="array" ref="W11">+IFERROR(_xlfn.CONCAT(_xlfn.UNIQUE(_xlfn._xlws.FILTER(W$19:W$1010,(($A$19:$A$1010=$A11)*(W$19:W$1010&lt;&gt;0)*(W$19:W$1010&lt;&gt;"F"))))),"")</f>
        <v/>
      </c>
      <c r="X11" s="47" t="str" cm="1">
        <f t="array" ref="X11">+IFERROR(_xlfn.CONCAT(_xlfn.UNIQUE(_xlfn._xlws.FILTER(X$19:X$1010,(($A$19:$A$1010=$A11)*(X$19:X$1010&lt;&gt;0)*(X$19:X$1010&lt;&gt;"F"))))),"")</f>
        <v/>
      </c>
      <c r="Y11" s="45" t="str" cm="1">
        <f t="array" ref="Y11">+IFERROR(_xlfn.CONCAT(_xlfn.UNIQUE(_xlfn._xlws.FILTER(Y$19:Y$1010,(($A$19:$A$1010=$A11)*(Y$19:Y$1010&lt;&gt;0)*(Y$19:Y$1010&lt;&gt;"F"))))),"")</f>
        <v/>
      </c>
      <c r="Z11" s="46" t="str" cm="1">
        <f t="array" ref="Z11">+IFERROR(_xlfn.CONCAT(_xlfn.UNIQUE(_xlfn._xlws.FILTER(Z$19:Z$1010,(($A$19:$A$1010=$A11)*(Z$19:Z$1010&lt;&gt;0)*(Z$19:Z$1010&lt;&gt;"F"))))),"")</f>
        <v/>
      </c>
      <c r="AA11" s="46" t="str" cm="1">
        <f t="array" ref="AA11">+IFERROR(_xlfn.CONCAT(_xlfn.UNIQUE(_xlfn._xlws.FILTER(AA$19:AA$1010,(($A$19:$A$1010=$A11)*(AA$19:AA$1010&lt;&gt;0)*(AA$19:AA$1010&lt;&gt;"F"))))),"")</f>
        <v/>
      </c>
      <c r="AB11" s="47" t="str" cm="1">
        <f t="array" ref="AB11">+IFERROR(_xlfn.CONCAT(_xlfn.UNIQUE(_xlfn._xlws.FILTER(AB$19:AB$1010,(($A$19:$A$1010=$A11)*(AB$19:AB$1010&lt;&gt;0)*(AB$19:AB$1010&lt;&gt;"F"))))),"")</f>
        <v/>
      </c>
      <c r="AC11" s="45" t="str" cm="1">
        <f t="array" ref="AC11">+IFERROR(_xlfn.CONCAT(_xlfn.UNIQUE(_xlfn._xlws.FILTER(AC$19:AC$1010,(($A$19:$A$1010=$A11)*(AC$19:AC$1010&lt;&gt;0)*(AC$19:AC$1010&lt;&gt;"F"))))),"")</f>
        <v/>
      </c>
      <c r="AD11" s="46" t="str" cm="1">
        <f t="array" ref="AD11">+IFERROR(_xlfn.CONCAT(_xlfn.UNIQUE(_xlfn._xlws.FILTER(AD$19:AD$1010,(($A$19:$A$1010=$A11)*(AD$19:AD$1010&lt;&gt;0)*(AD$19:AD$1010&lt;&gt;"F"))))),"")</f>
        <v/>
      </c>
      <c r="AE11" s="46" t="str" cm="1">
        <f t="array" ref="AE11">+IFERROR(_xlfn.CONCAT(_xlfn.UNIQUE(_xlfn._xlws.FILTER(AE$19:AE$1010,(($A$19:$A$1010=$A11)*(AE$19:AE$1010&lt;&gt;0)*(AE$19:AE$1010&lt;&gt;"F"))))),"")</f>
        <v/>
      </c>
      <c r="AF11" s="47" t="str" cm="1">
        <f t="array" ref="AF11">+IFERROR(_xlfn.CONCAT(_xlfn.UNIQUE(_xlfn._xlws.FILTER(AF$19:AF$1010,(($A$19:$A$1010=$A11)*(AF$19:AF$1010&lt;&gt;0)*(AF$19:AF$1010&lt;&gt;"F"))))),"")</f>
        <v/>
      </c>
      <c r="AG11" s="45" t="str" cm="1">
        <f t="array" ref="AG11">+IFERROR(_xlfn.CONCAT(_xlfn.UNIQUE(_xlfn._xlws.FILTER(AG$19:AG$1010,(($A$19:$A$1010=$A11)*(AG$19:AG$1010&lt;&gt;0)*(AG$19:AG$1010&lt;&gt;"F"))))),"")</f>
        <v/>
      </c>
      <c r="AH11" s="46" t="str" cm="1">
        <f t="array" ref="AH11">+IFERROR(_xlfn.CONCAT(_xlfn.UNIQUE(_xlfn._xlws.FILTER(AH$19:AH$1010,(($A$19:$A$1010=$A11)*(AH$19:AH$1010&lt;&gt;0)*(AH$19:AH$1010&lt;&gt;"F"))))),"")</f>
        <v/>
      </c>
      <c r="AI11" s="46" t="str" cm="1">
        <f t="array" ref="AI11">+IFERROR(_xlfn.CONCAT(_xlfn.UNIQUE(_xlfn._xlws.FILTER(AI$19:AI$1010,(($A$19:$A$1010=$A11)*(AI$19:AI$1010&lt;&gt;0)*(AI$19:AI$1010&lt;&gt;"F"))))),"")</f>
        <v/>
      </c>
      <c r="AJ11" s="46" t="str" cm="1">
        <f t="array" ref="AJ11">+IFERROR(_xlfn.CONCAT(_xlfn.UNIQUE(_xlfn._xlws.FILTER(AJ$19:AJ$1010,(($A$19:$A$1010=$A11)*(AJ$19:AJ$1010&lt;&gt;0)*(AJ$19:AJ$1010&lt;&gt;"F"))))),"")</f>
        <v/>
      </c>
      <c r="AK11" s="47" t="str" cm="1">
        <f t="array" ref="AK11">+IFERROR(_xlfn.CONCAT(_xlfn.UNIQUE(_xlfn._xlws.FILTER(AK$19:AK$1010,(($A$19:$A$1010=$A11)*(AK$19:AK$1010&lt;&gt;0)*(AK$19:AK$1010&lt;&gt;"F"))))),"")</f>
        <v/>
      </c>
      <c r="AL11" s="45" t="str" cm="1">
        <f t="array" ref="AL11">+IFERROR(_xlfn.CONCAT(_xlfn.UNIQUE(_xlfn._xlws.FILTER(AL$19:AL$1010,(($A$19:$A$1010=$A11)*(AL$19:AL$1010&lt;&gt;0)*(AL$19:AL$1010&lt;&gt;"F"))))),"")</f>
        <v/>
      </c>
      <c r="AM11" s="46" t="str" cm="1">
        <f t="array" ref="AM11">+IFERROR(_xlfn.CONCAT(_xlfn.UNIQUE(_xlfn._xlws.FILTER(AM$19:AM$1010,(($A$19:$A$1010=$A11)*(AM$19:AM$1010&lt;&gt;0)*(AM$19:AM$1010&lt;&gt;"F"))))),"")</f>
        <v/>
      </c>
      <c r="AN11" s="46" t="str" cm="1">
        <f t="array" ref="AN11">+IFERROR(_xlfn.CONCAT(_xlfn.UNIQUE(_xlfn._xlws.FILTER(AN$19:AN$1010,(($A$19:$A$1010=$A11)*(AN$19:AN$1010&lt;&gt;0)*(AN$19:AN$1010&lt;&gt;"F"))))),"")</f>
        <v/>
      </c>
      <c r="AO11" s="47" t="str" cm="1">
        <f t="array" ref="AO11">+IFERROR(_xlfn.CONCAT(_xlfn.UNIQUE(_xlfn._xlws.FILTER(AO$19:AO$1010,(($A$19:$A$1010=$A11)*(AO$19:AO$1010&lt;&gt;0)*(AO$19:AO$1010&lt;&gt;"F"))))),"")</f>
        <v/>
      </c>
      <c r="AP11" s="45" t="str" cm="1">
        <f t="array" ref="AP11">+IFERROR(_xlfn.CONCAT(_xlfn.UNIQUE(_xlfn._xlws.FILTER(AP$19:AP$1010,(($A$19:$A$1010=$A11)*(AP$19:AP$1010&lt;&gt;0)*(AP$19:AP$1010&lt;&gt;"F"))))),"")</f>
        <v/>
      </c>
      <c r="AQ11" s="46" t="str" cm="1">
        <f t="array" ref="AQ11">+IFERROR(_xlfn.CONCAT(_xlfn.UNIQUE(_xlfn._xlws.FILTER(AQ$19:AQ$1010,(($A$19:$A$1010=$A11)*(AQ$19:AQ$1010&lt;&gt;0)*(AQ$19:AQ$1010&lt;&gt;"F"))))),"")</f>
        <v/>
      </c>
      <c r="AR11" s="46" t="str" cm="1">
        <f t="array" ref="AR11">+IFERROR(_xlfn.CONCAT(_xlfn.UNIQUE(_xlfn._xlws.FILTER(AR$19:AR$1010,(($A$19:$A$1010=$A11)*(AR$19:AR$1010&lt;&gt;0)*(AR$19:AR$1010&lt;&gt;"F"))))),"")</f>
        <v/>
      </c>
      <c r="AS11" s="47" t="str" cm="1">
        <f t="array" ref="AS11">+IFERROR(_xlfn.CONCAT(_xlfn.UNIQUE(_xlfn._xlws.FILTER(AS$19:AS$1010,(($A$19:$A$1010=$A11)*(AS$19:AS$1010&lt;&gt;0)*(AS$19:AS$1010&lt;&gt;"F"))))),"")</f>
        <v/>
      </c>
      <c r="AT11" s="45" t="str" cm="1">
        <f t="array" ref="AT11">+IFERROR(_xlfn.CONCAT(_xlfn.UNIQUE(_xlfn._xlws.FILTER(AT$19:AT$1010,(($A$19:$A$1010=$A11)*(AT$19:AT$1010&lt;&gt;0)*(AT$19:AT$1010&lt;&gt;"F"))))),"")</f>
        <v/>
      </c>
      <c r="AU11" s="46" t="str" cm="1">
        <f t="array" ref="AU11">+IFERROR(_xlfn.CONCAT(_xlfn.UNIQUE(_xlfn._xlws.FILTER(AU$19:AU$1010,(($A$19:$A$1010=$A11)*(AU$19:AU$1010&lt;&gt;0)*(AU$19:AU$1010&lt;&gt;"F"))))),"")</f>
        <v/>
      </c>
      <c r="AV11" s="46" t="str" cm="1">
        <f t="array" ref="AV11">+IFERROR(_xlfn.CONCAT(_xlfn.UNIQUE(_xlfn._xlws.FILTER(AV$19:AV$1010,(($A$19:$A$1010=$A11)*(AV$19:AV$1010&lt;&gt;0)*(AV$19:AV$1010&lt;&gt;"F"))))),"")</f>
        <v/>
      </c>
      <c r="AW11" s="46" t="str" cm="1">
        <f t="array" ref="AW11">+IFERROR(_xlfn.CONCAT(_xlfn.UNIQUE(_xlfn._xlws.FILTER(AW$19:AW$1010,(($A$19:$A$1010=$A11)*(AW$19:AW$1010&lt;&gt;0)*(AW$19:AW$1010&lt;&gt;"F"))))),"")</f>
        <v/>
      </c>
      <c r="AX11" s="47" t="str" cm="1">
        <f t="array" ref="AX11">+IFERROR(_xlfn.CONCAT(_xlfn.UNIQUE(_xlfn._xlws.FILTER(AX$19:AX$1010,(($A$19:$A$1010=$A11)*(AX$19:AX$1010&lt;&gt;0)*(AX$19:AX$1010&lt;&gt;"F"))))),"")</f>
        <v/>
      </c>
      <c r="AY11" s="45" t="str" cm="1">
        <f t="array" ref="AY11">+IFERROR(_xlfn.CONCAT(_xlfn.UNIQUE(_xlfn._xlws.FILTER(AY$19:AY$1010,(($A$19:$A$1010=$A11)*(AY$19:AY$1010&lt;&gt;0)*(AY$19:AY$1010&lt;&gt;"F"))))),"")</f>
        <v/>
      </c>
      <c r="AZ11" s="46" t="str" cm="1">
        <f t="array" ref="AZ11">+IFERROR(_xlfn.CONCAT(_xlfn.UNIQUE(_xlfn._xlws.FILTER(AZ$19:AZ$1010,(($A$19:$A$1010=$A11)*(AZ$19:AZ$1010&lt;&gt;0)*(AZ$19:AZ$1010&lt;&gt;"F"))))),"")</f>
        <v/>
      </c>
      <c r="BA11" s="46" t="str" cm="1">
        <f t="array" ref="BA11">+IFERROR(_xlfn.CONCAT(_xlfn.UNIQUE(_xlfn._xlws.FILTER(BA$19:BA$1010,(($A$19:$A$1010=$A11)*(BA$19:BA$1010&lt;&gt;0)*(BA$19:BA$1010&lt;&gt;"F"))))),"")</f>
        <v/>
      </c>
      <c r="BB11" s="47" t="str" cm="1">
        <f t="array" ref="BB11">+IFERROR(_xlfn.CONCAT(_xlfn.UNIQUE(_xlfn._xlws.FILTER(BB$19:BB$1010,(($A$19:$A$1010=$A11)*(BB$19:BB$1010&lt;&gt;0)*(BB$19:BB$1010&lt;&gt;"F"))))),"")</f>
        <v/>
      </c>
      <c r="BC11" s="45" t="str" cm="1">
        <f t="array" ref="BC11">+IFERROR(_xlfn.CONCAT(_xlfn.UNIQUE(_xlfn._xlws.FILTER(BC$19:BC$1010,(($A$19:$A$1010=$A11)*(BC$19:BC$1010&lt;&gt;0)*(BC$19:BC$1010&lt;&gt;"F"))))),"")</f>
        <v/>
      </c>
      <c r="BD11" s="46" t="str" cm="1">
        <f t="array" ref="BD11">+IFERROR(_xlfn.CONCAT(_xlfn.UNIQUE(_xlfn._xlws.FILTER(BD$19:BD$1010,(($A$19:$A$1010=$A11)*(BD$19:BD$1010&lt;&gt;0)*(BD$19:BD$1010&lt;&gt;"F"))))),"")</f>
        <v/>
      </c>
      <c r="BE11" s="46" t="str" cm="1">
        <f t="array" ref="BE11">+IFERROR(_xlfn.CONCAT(_xlfn.UNIQUE(_xlfn._xlws.FILTER(BE$19:BE$1010,(($A$19:$A$1010=$A11)*(BE$19:BE$1010&lt;&gt;0)*(BE$19:BE$1010&lt;&gt;"F"))))),"")</f>
        <v/>
      </c>
      <c r="BF11" s="47" t="str" cm="1">
        <f t="array" ref="BF11">+IFERROR(_xlfn.CONCAT(_xlfn.UNIQUE(_xlfn._xlws.FILTER(BF$19:BF$1010,(($A$19:$A$1010=$A11)*(BF$19:BF$1010&lt;&gt;0)*(BF$19:BF$1010&lt;&gt;"F"))))),"")</f>
        <v/>
      </c>
      <c r="BG11" s="45" t="str" cm="1">
        <f t="array" ref="BG11">+IFERROR(_xlfn.CONCAT(_xlfn.UNIQUE(_xlfn._xlws.FILTER(BG$19:BG$1010,(($A$19:$A$1010=$A11)*(BG$19:BG$1010&lt;&gt;0)*(BG$19:BG$1010&lt;&gt;"F"))))),"")</f>
        <v/>
      </c>
      <c r="BH11" s="46" t="str" cm="1">
        <f t="array" ref="BH11">+IFERROR(_xlfn.CONCAT(_xlfn.UNIQUE(_xlfn._xlws.FILTER(BH$19:BH$1010,(($A$19:$A$1010=$A11)*(BH$19:BH$1010&lt;&gt;0)*(BH$19:BH$1010&lt;&gt;"F"))))),"")</f>
        <v/>
      </c>
      <c r="BI11" s="46" t="str" cm="1">
        <f t="array" ref="BI11">+IFERROR(_xlfn.CONCAT(_xlfn.UNIQUE(_xlfn._xlws.FILTER(BI$19:BI$1010,(($A$19:$A$1010=$A11)*(BI$19:BI$1010&lt;&gt;0)*(BI$19:BI$1010&lt;&gt;"F"))))),"")</f>
        <v/>
      </c>
      <c r="BJ11" s="46" t="str" cm="1">
        <f t="array" ref="BJ11">+IFERROR(_xlfn.CONCAT(_xlfn.UNIQUE(_xlfn._xlws.FILTER(BJ$19:BJ$1010,(($A$19:$A$1010=$A11)*(BJ$19:BJ$1010&lt;&gt;0)*(BJ$19:BJ$1010&lt;&gt;"F"))))),"")</f>
        <v/>
      </c>
      <c r="BK11" s="47" t="str" cm="1">
        <f t="array" ref="BK11">+IFERROR(_xlfn.CONCAT(_xlfn.UNIQUE(_xlfn._xlws.FILTER(BK$19:BK$1010,(($A$19:$A$1010=$A11)*(BK$19:BK$1010&lt;&gt;0)*(BK$19:BK$1010&lt;&gt;"F"))))),"")</f>
        <v/>
      </c>
      <c r="BL11" s="45" t="str" cm="1">
        <f t="array" ref="BL11">+IFERROR(_xlfn.CONCAT(_xlfn.UNIQUE(_xlfn._xlws.FILTER(BL$19:BL$1010,(($A$19:$A$1010=$A11)*(BL$19:BL$1010&lt;&gt;0)*(BL$19:BL$1010&lt;&gt;"F"))))),"")</f>
        <v/>
      </c>
      <c r="BM11" s="46" t="str" cm="1">
        <f t="array" ref="BM11">+IFERROR(_xlfn.CONCAT(_xlfn.UNIQUE(_xlfn._xlws.FILTER(BM$19:BM$1010,(($A$19:$A$1010=$A11)*(BM$19:BM$1010&lt;&gt;0)*(BM$19:BM$1010&lt;&gt;"F"))))),"")</f>
        <v/>
      </c>
      <c r="BN11" s="46" t="str" cm="1">
        <f t="array" ref="BN11">+IFERROR(_xlfn.CONCAT(_xlfn.UNIQUE(_xlfn._xlws.FILTER(BN$19:BN$1010,(($A$19:$A$1010=$A11)*(BN$19:BN$1010&lt;&gt;0)*(BN$19:BN$1010&lt;&gt;"F"))))),"")</f>
        <v/>
      </c>
      <c r="BO11" s="47" t="str" cm="1">
        <f t="array" ref="BO11">+IFERROR(_xlfn.CONCAT(_xlfn.UNIQUE(_xlfn._xlws.FILTER(BO$19:BO$1010,(($A$19:$A$1010=$A11)*(BO$19:BO$1010&lt;&gt;0)*(BO$19:BO$1010&lt;&gt;"F"))))),"")</f>
        <v/>
      </c>
      <c r="BP11" s="45" t="str" cm="1">
        <f t="array" ref="BP11">+IFERROR(_xlfn.CONCAT(_xlfn.UNIQUE(_xlfn._xlws.FILTER(BP$19:BP$1010,(($A$19:$A$1010=$A11)*(BP$19:BP$1010&lt;&gt;0)*(BP$19:BP$1010&lt;&gt;"F"))))),"")</f>
        <v/>
      </c>
      <c r="BQ11" s="46" t="str" cm="1">
        <f t="array" ref="BQ11">+IFERROR(_xlfn.CONCAT(_xlfn.UNIQUE(_xlfn._xlws.FILTER(BQ$19:BQ$1010,(($A$19:$A$1010=$A11)*(BQ$19:BQ$1010&lt;&gt;0)*(BQ$19:BQ$1010&lt;&gt;"F"))))),"")</f>
        <v/>
      </c>
      <c r="BR11" s="46" t="str" cm="1">
        <f t="array" ref="BR11">+IFERROR(_xlfn.CONCAT(_xlfn.UNIQUE(_xlfn._xlws.FILTER(BR$19:BR$1010,(($A$19:$A$1010=$A11)*(BR$19:BR$1010&lt;&gt;0)*(BR$19:BR$1010&lt;&gt;"F"))))),"")</f>
        <v/>
      </c>
      <c r="BS11" s="47" t="str" cm="1">
        <f t="array" ref="BS11">+IFERROR(_xlfn.CONCAT(_xlfn.UNIQUE(_xlfn._xlws.FILTER(BS$19:BS$1010,(($A$19:$A$1010=$A11)*(BS$19:BS$1010&lt;&gt;0)*(BS$19:BS$1010&lt;&gt;"F"))))),"")</f>
        <v/>
      </c>
    </row>
    <row r="12" spans="1:71" s="13" customFormat="1" ht="39.9" customHeight="1" x14ac:dyDescent="0.3">
      <c r="A12" s="58" t="str">
        <v>RAVEX - CANHOTO DIGITAL</v>
      </c>
      <c r="B12" s="30"/>
      <c r="C12" s="31">
        <v>0</v>
      </c>
      <c r="D12" s="32" t="str">
        <v>Melhoria de Processo</v>
      </c>
      <c r="E12" s="32" t="str">
        <v>Evolução, Melhoria ou Adequação</v>
      </c>
      <c r="F12" s="32" t="str">
        <v>Alta</v>
      </c>
      <c r="G12" s="48" t="str" cm="1">
        <f t="array" ref="G12">+IFERROR(_xlfn.CONCAT(_xlfn.UNIQUE(_xlfn._xlws.FILTER(G$19:G$1010,(($A$19:$A$1010=$A12)*(G$19:G$1010&lt;&gt;0)*(G$19:G$1010&lt;&gt;"F"))))),"")</f>
        <v/>
      </c>
      <c r="H12" s="49" t="str" cm="1">
        <f t="array" ref="H12">+IFERROR(_xlfn.CONCAT(_xlfn.UNIQUE(_xlfn._xlws.FILTER(H$19:H$1010,(($A$19:$A$1010=$A12)*(H$19:H$1010&lt;&gt;0)*(H$19:H$1010&lt;&gt;"F"))))),"")</f>
        <v/>
      </c>
      <c r="I12" s="49" t="str" cm="1">
        <f t="array" ref="I12">+IFERROR(_xlfn.CONCAT(_xlfn.UNIQUE(_xlfn._xlws.FILTER(I$19:I$1010,(($A$19:$A$1010=$A12)*(I$19:I$1010&lt;&gt;0)*(I$19:I$1010&lt;&gt;"F"))))),"")</f>
        <v/>
      </c>
      <c r="J12" s="49" t="str" cm="1">
        <f t="array" ref="J12">+IFERROR(_xlfn.CONCAT(_xlfn.UNIQUE(_xlfn._xlws.FILTER(J$19:J$1010,(($A$19:$A$1010=$A12)*(J$19:J$1010&lt;&gt;0)*(J$19:J$1010&lt;&gt;"F"))))),"")</f>
        <v/>
      </c>
      <c r="K12" s="50" t="str" cm="1">
        <f t="array" ref="K12">+IFERROR(_xlfn.CONCAT(_xlfn.UNIQUE(_xlfn._xlws.FILTER(K$19:K$1010,(($A$19:$A$1010=$A12)*(K$19:K$1010&lt;&gt;0)*(K$19:K$1010&lt;&gt;"F"))))),"")</f>
        <v/>
      </c>
      <c r="L12" s="48" t="str" cm="1">
        <f t="array" ref="L12">+IFERROR(_xlfn.CONCAT(_xlfn.UNIQUE(_xlfn._xlws.FILTER(L$19:L$1010,(($A$19:$A$1010=$A12)*(L$19:L$1010&lt;&gt;0)*(L$19:L$1010&lt;&gt;"F"))))),"")</f>
        <v/>
      </c>
      <c r="M12" s="49" t="str" cm="1">
        <f t="array" ref="M12">+IFERROR(_xlfn.CONCAT(_xlfn.UNIQUE(_xlfn._xlws.FILTER(M$19:M$1010,(($A$19:$A$1010=$A12)*(M$19:M$1010&lt;&gt;0)*(M$19:M$1010&lt;&gt;"F"))))),"")</f>
        <v/>
      </c>
      <c r="N12" s="49" t="str" cm="1">
        <f t="array" ref="N12">+IFERROR(_xlfn.CONCAT(_xlfn.UNIQUE(_xlfn._xlws.FILTER(N$19:N$1010,(($A$19:$A$1010=$A12)*(N$19:N$1010&lt;&gt;0)*(N$19:N$1010&lt;&gt;"F"))))),"")</f>
        <v/>
      </c>
      <c r="O12" s="50" t="str" cm="1">
        <f t="array" ref="O12">+IFERROR(_xlfn.CONCAT(_xlfn.UNIQUE(_xlfn._xlws.FILTER(O$19:O$1010,(($A$19:$A$1010=$A12)*(O$19:O$1010&lt;&gt;0)*(O$19:O$1010&lt;&gt;"F"))))),"")</f>
        <v/>
      </c>
      <c r="P12" s="48" t="str" cm="1">
        <f t="array" ref="P12">+IFERROR(_xlfn.CONCAT(_xlfn.UNIQUE(_xlfn._xlws.FILTER(P$19:P$1010,(($A$19:$A$1010=$A12)*(P$19:P$1010&lt;&gt;0)*(P$19:P$1010&lt;&gt;"F"))))),"")</f>
        <v/>
      </c>
      <c r="Q12" s="49" t="str" cm="1">
        <f t="array" ref="Q12">+IFERROR(_xlfn.CONCAT(_xlfn.UNIQUE(_xlfn._xlws.FILTER(Q$19:Q$1010,(($A$19:$A$1010=$A12)*(Q$19:Q$1010&lt;&gt;0)*(Q$19:Q$1010&lt;&gt;"F"))))),"")</f>
        <v/>
      </c>
      <c r="R12" s="49" t="str" cm="1">
        <f t="array" ref="R12">+IFERROR(_xlfn.CONCAT(_xlfn.UNIQUE(_xlfn._xlws.FILTER(R$19:R$1010,(($A$19:$A$1010=$A12)*(R$19:R$1010&lt;&gt;0)*(R$19:R$1010&lt;&gt;"F"))))),"")</f>
        <v/>
      </c>
      <c r="S12" s="50" t="str" cm="1">
        <f t="array" ref="S12">+IFERROR(_xlfn.CONCAT(_xlfn.UNIQUE(_xlfn._xlws.FILTER(S$19:S$1010,(($A$19:$A$1010=$A12)*(S$19:S$1010&lt;&gt;0)*(S$19:S$1010&lt;&gt;"F"))))),"")</f>
        <v/>
      </c>
      <c r="T12" s="48" t="str" cm="1">
        <f t="array" ref="T12">+IFERROR(_xlfn.CONCAT(_xlfn.UNIQUE(_xlfn._xlws.FILTER(T$19:T$1010,(($A$19:$A$1010=$A12)*(T$19:T$1010&lt;&gt;0)*(T$19:T$1010&lt;&gt;"F"))))),"")</f>
        <v/>
      </c>
      <c r="U12" s="49" t="str" cm="1">
        <f t="array" ref="U12">+IFERROR(_xlfn.CONCAT(_xlfn.UNIQUE(_xlfn._xlws.FILTER(U$19:U$1010,(($A$19:$A$1010=$A12)*(U$19:U$1010&lt;&gt;0)*(U$19:U$1010&lt;&gt;"F"))))),"")</f>
        <v/>
      </c>
      <c r="V12" s="49" t="str" cm="1">
        <f t="array" ref="V12">+IFERROR(_xlfn.CONCAT(_xlfn.UNIQUE(_xlfn._xlws.FILTER(V$19:V$1010,(($A$19:$A$1010=$A12)*(V$19:V$1010&lt;&gt;0)*(V$19:V$1010&lt;&gt;"F"))))),"")</f>
        <v/>
      </c>
      <c r="W12" s="49" t="str" cm="1">
        <f t="array" ref="W12">+IFERROR(_xlfn.CONCAT(_xlfn.UNIQUE(_xlfn._xlws.FILTER(W$19:W$1010,(($A$19:$A$1010=$A12)*(W$19:W$1010&lt;&gt;0)*(W$19:W$1010&lt;&gt;"F"))))),"")</f>
        <v/>
      </c>
      <c r="X12" s="50" t="str" cm="1">
        <f t="array" ref="X12">+IFERROR(_xlfn.CONCAT(_xlfn.UNIQUE(_xlfn._xlws.FILTER(X$19:X$1010,(($A$19:$A$1010=$A12)*(X$19:X$1010&lt;&gt;0)*(X$19:X$1010&lt;&gt;"F"))))),"")</f>
        <v/>
      </c>
      <c r="Y12" s="48" t="str" cm="1">
        <f t="array" ref="Y12">+IFERROR(_xlfn.CONCAT(_xlfn.UNIQUE(_xlfn._xlws.FILTER(Y$19:Y$1010,(($A$19:$A$1010=$A12)*(Y$19:Y$1010&lt;&gt;0)*(Y$19:Y$1010&lt;&gt;"F"))))),"")</f>
        <v/>
      </c>
      <c r="Z12" s="49" t="str" cm="1">
        <f t="array" ref="Z12">+IFERROR(_xlfn.CONCAT(_xlfn.UNIQUE(_xlfn._xlws.FILTER(Z$19:Z$1010,(($A$19:$A$1010=$A12)*(Z$19:Z$1010&lt;&gt;0)*(Z$19:Z$1010&lt;&gt;"F"))))),"")</f>
        <v/>
      </c>
      <c r="AA12" s="49" t="str" cm="1">
        <f t="array" ref="AA12">+IFERROR(_xlfn.CONCAT(_xlfn.UNIQUE(_xlfn._xlws.FILTER(AA$19:AA$1010,(($A$19:$A$1010=$A12)*(AA$19:AA$1010&lt;&gt;0)*(AA$19:AA$1010&lt;&gt;"F"))))),"")</f>
        <v/>
      </c>
      <c r="AB12" s="50" t="str" cm="1">
        <f t="array" ref="AB12">+IFERROR(_xlfn.CONCAT(_xlfn.UNIQUE(_xlfn._xlws.FILTER(AB$19:AB$1010,(($A$19:$A$1010=$A12)*(AB$19:AB$1010&lt;&gt;0)*(AB$19:AB$1010&lt;&gt;"F"))))),"")</f>
        <v/>
      </c>
      <c r="AC12" s="48" t="str" cm="1">
        <f t="array" ref="AC12">+IFERROR(_xlfn.CONCAT(_xlfn.UNIQUE(_xlfn._xlws.FILTER(AC$19:AC$1010,(($A$19:$A$1010=$A12)*(AC$19:AC$1010&lt;&gt;0)*(AC$19:AC$1010&lt;&gt;"F"))))),"")</f>
        <v/>
      </c>
      <c r="AD12" s="49" t="str" cm="1">
        <f t="array" ref="AD12">+IFERROR(_xlfn.CONCAT(_xlfn.UNIQUE(_xlfn._xlws.FILTER(AD$19:AD$1010,(($A$19:$A$1010=$A12)*(AD$19:AD$1010&lt;&gt;0)*(AD$19:AD$1010&lt;&gt;"F"))))),"")</f>
        <v/>
      </c>
      <c r="AE12" s="49" t="str" cm="1">
        <f t="array" ref="AE12">+IFERROR(_xlfn.CONCAT(_xlfn.UNIQUE(_xlfn._xlws.FILTER(AE$19:AE$1010,(($A$19:$A$1010=$A12)*(AE$19:AE$1010&lt;&gt;0)*(AE$19:AE$1010&lt;&gt;"F"))))),"")</f>
        <v/>
      </c>
      <c r="AF12" s="50" t="str" cm="1">
        <f t="array" ref="AF12">+IFERROR(_xlfn.CONCAT(_xlfn.UNIQUE(_xlfn._xlws.FILTER(AF$19:AF$1010,(($A$19:$A$1010=$A12)*(AF$19:AF$1010&lt;&gt;0)*(AF$19:AF$1010&lt;&gt;"F"))))),"")</f>
        <v/>
      </c>
      <c r="AG12" s="48" t="str" cm="1">
        <f t="array" ref="AG12">+IFERROR(_xlfn.CONCAT(_xlfn.UNIQUE(_xlfn._xlws.FILTER(AG$19:AG$1010,(($A$19:$A$1010=$A12)*(AG$19:AG$1010&lt;&gt;0)*(AG$19:AG$1010&lt;&gt;"F"))))),"")</f>
        <v/>
      </c>
      <c r="AH12" s="49" t="str" cm="1">
        <f t="array" ref="AH12">+IFERROR(_xlfn.CONCAT(_xlfn.UNIQUE(_xlfn._xlws.FILTER(AH$19:AH$1010,(($A$19:$A$1010=$A12)*(AH$19:AH$1010&lt;&gt;0)*(AH$19:AH$1010&lt;&gt;"F"))))),"")</f>
        <v/>
      </c>
      <c r="AI12" s="49" t="str" cm="1">
        <f t="array" ref="AI12">+IFERROR(_xlfn.CONCAT(_xlfn.UNIQUE(_xlfn._xlws.FILTER(AI$19:AI$1010,(($A$19:$A$1010=$A12)*(AI$19:AI$1010&lt;&gt;0)*(AI$19:AI$1010&lt;&gt;"F"))))),"")</f>
        <v/>
      </c>
      <c r="AJ12" s="49" t="str" cm="1">
        <f t="array" ref="AJ12">+IFERROR(_xlfn.CONCAT(_xlfn.UNIQUE(_xlfn._xlws.FILTER(AJ$19:AJ$1010,(($A$19:$A$1010=$A12)*(AJ$19:AJ$1010&lt;&gt;0)*(AJ$19:AJ$1010&lt;&gt;"F"))))),"")</f>
        <v/>
      </c>
      <c r="AK12" s="50" t="str" cm="1">
        <f t="array" ref="AK12">+IFERROR(_xlfn.CONCAT(_xlfn.UNIQUE(_xlfn._xlws.FILTER(AK$19:AK$1010,(($A$19:$A$1010=$A12)*(AK$19:AK$1010&lt;&gt;0)*(AK$19:AK$1010&lt;&gt;"F"))))),"")</f>
        <v/>
      </c>
      <c r="AL12" s="48" t="str" cm="1">
        <f t="array" ref="AL12">+IFERROR(_xlfn.CONCAT(_xlfn.UNIQUE(_xlfn._xlws.FILTER(AL$19:AL$1010,(($A$19:$A$1010=$A12)*(AL$19:AL$1010&lt;&gt;0)*(AL$19:AL$1010&lt;&gt;"F"))))),"")</f>
        <v/>
      </c>
      <c r="AM12" s="49" t="str" cm="1">
        <f t="array" ref="AM12">+IFERROR(_xlfn.CONCAT(_xlfn.UNIQUE(_xlfn._xlws.FILTER(AM$19:AM$1010,(($A$19:$A$1010=$A12)*(AM$19:AM$1010&lt;&gt;0)*(AM$19:AM$1010&lt;&gt;"F"))))),"")</f>
        <v/>
      </c>
      <c r="AN12" s="49" t="str" cm="1">
        <f t="array" ref="AN12">+IFERROR(_xlfn.CONCAT(_xlfn.UNIQUE(_xlfn._xlws.FILTER(AN$19:AN$1010,(($A$19:$A$1010=$A12)*(AN$19:AN$1010&lt;&gt;0)*(AN$19:AN$1010&lt;&gt;"F"))))),"")</f>
        <v/>
      </c>
      <c r="AO12" s="50" t="str" cm="1">
        <f t="array" ref="AO12">+IFERROR(_xlfn.CONCAT(_xlfn.UNIQUE(_xlfn._xlws.FILTER(AO$19:AO$1010,(($A$19:$A$1010=$A12)*(AO$19:AO$1010&lt;&gt;0)*(AO$19:AO$1010&lt;&gt;"F"))))),"")</f>
        <v/>
      </c>
      <c r="AP12" s="48" t="str" cm="1">
        <f t="array" ref="AP12">+IFERROR(_xlfn.CONCAT(_xlfn.UNIQUE(_xlfn._xlws.FILTER(AP$19:AP$1010,(($A$19:$A$1010=$A12)*(AP$19:AP$1010&lt;&gt;0)*(AP$19:AP$1010&lt;&gt;"F"))))),"")</f>
        <v/>
      </c>
      <c r="AQ12" s="49" t="str" cm="1">
        <f t="array" ref="AQ12">+IFERROR(_xlfn.CONCAT(_xlfn.UNIQUE(_xlfn._xlws.FILTER(AQ$19:AQ$1010,(($A$19:$A$1010=$A12)*(AQ$19:AQ$1010&lt;&gt;0)*(AQ$19:AQ$1010&lt;&gt;"F"))))),"")</f>
        <v/>
      </c>
      <c r="AR12" s="49" t="str" cm="1">
        <f t="array" ref="AR12">+IFERROR(_xlfn.CONCAT(_xlfn.UNIQUE(_xlfn._xlws.FILTER(AR$19:AR$1010,(($A$19:$A$1010=$A12)*(AR$19:AR$1010&lt;&gt;0)*(AR$19:AR$1010&lt;&gt;"F"))))),"")</f>
        <v/>
      </c>
      <c r="AS12" s="50" t="str" cm="1">
        <f t="array" ref="AS12">+IFERROR(_xlfn.CONCAT(_xlfn.UNIQUE(_xlfn._xlws.FILTER(AS$19:AS$1010,(($A$19:$A$1010=$A12)*(AS$19:AS$1010&lt;&gt;0)*(AS$19:AS$1010&lt;&gt;"F"))))),"")</f>
        <v/>
      </c>
      <c r="AT12" s="48" t="str" cm="1">
        <f t="array" ref="AT12">+IFERROR(_xlfn.CONCAT(_xlfn.UNIQUE(_xlfn._xlws.FILTER(AT$19:AT$1010,(($A$19:$A$1010=$A12)*(AT$19:AT$1010&lt;&gt;0)*(AT$19:AT$1010&lt;&gt;"F"))))),"")</f>
        <v/>
      </c>
      <c r="AU12" s="49" t="str" cm="1">
        <f t="array" ref="AU12">+IFERROR(_xlfn.CONCAT(_xlfn.UNIQUE(_xlfn._xlws.FILTER(AU$19:AU$1010,(($A$19:$A$1010=$A12)*(AU$19:AU$1010&lt;&gt;0)*(AU$19:AU$1010&lt;&gt;"F"))))),"")</f>
        <v/>
      </c>
      <c r="AV12" s="49" t="str" cm="1">
        <f t="array" ref="AV12">+IFERROR(_xlfn.CONCAT(_xlfn.UNIQUE(_xlfn._xlws.FILTER(AV$19:AV$1010,(($A$19:$A$1010=$A12)*(AV$19:AV$1010&lt;&gt;0)*(AV$19:AV$1010&lt;&gt;"F"))))),"")</f>
        <v/>
      </c>
      <c r="AW12" s="49" t="str" cm="1">
        <f t="array" ref="AW12">+IFERROR(_xlfn.CONCAT(_xlfn.UNIQUE(_xlfn._xlws.FILTER(AW$19:AW$1010,(($A$19:$A$1010=$A12)*(AW$19:AW$1010&lt;&gt;0)*(AW$19:AW$1010&lt;&gt;"F"))))),"")</f>
        <v/>
      </c>
      <c r="AX12" s="50" t="str" cm="1">
        <f t="array" ref="AX12">+IFERROR(_xlfn.CONCAT(_xlfn.UNIQUE(_xlfn._xlws.FILTER(AX$19:AX$1010,(($A$19:$A$1010=$A12)*(AX$19:AX$1010&lt;&gt;0)*(AX$19:AX$1010&lt;&gt;"F"))))),"")</f>
        <v/>
      </c>
      <c r="AY12" s="48" t="str" cm="1">
        <f t="array" ref="AY12">+IFERROR(_xlfn.CONCAT(_xlfn.UNIQUE(_xlfn._xlws.FILTER(AY$19:AY$1010,(($A$19:$A$1010=$A12)*(AY$19:AY$1010&lt;&gt;0)*(AY$19:AY$1010&lt;&gt;"F"))))),"")</f>
        <v/>
      </c>
      <c r="AZ12" s="49" t="str" cm="1">
        <f t="array" ref="AZ12">+IFERROR(_xlfn.CONCAT(_xlfn.UNIQUE(_xlfn._xlws.FILTER(AZ$19:AZ$1010,(($A$19:$A$1010=$A12)*(AZ$19:AZ$1010&lt;&gt;0)*(AZ$19:AZ$1010&lt;&gt;"F"))))),"")</f>
        <v/>
      </c>
      <c r="BA12" s="49" t="str" cm="1">
        <f t="array" ref="BA12">+IFERROR(_xlfn.CONCAT(_xlfn.UNIQUE(_xlfn._xlws.FILTER(BA$19:BA$1010,(($A$19:$A$1010=$A12)*(BA$19:BA$1010&lt;&gt;0)*(BA$19:BA$1010&lt;&gt;"F"))))),"")</f>
        <v/>
      </c>
      <c r="BB12" s="50" t="str" cm="1">
        <f t="array" ref="BB12">+IFERROR(_xlfn.CONCAT(_xlfn.UNIQUE(_xlfn._xlws.FILTER(BB$19:BB$1010,(($A$19:$A$1010=$A12)*(BB$19:BB$1010&lt;&gt;0)*(BB$19:BB$1010&lt;&gt;"F"))))),"")</f>
        <v/>
      </c>
      <c r="BC12" s="48" t="str" cm="1">
        <f t="array" ref="BC12">+IFERROR(_xlfn.CONCAT(_xlfn.UNIQUE(_xlfn._xlws.FILTER(BC$19:BC$1010,(($A$19:$A$1010=$A12)*(BC$19:BC$1010&lt;&gt;0)*(BC$19:BC$1010&lt;&gt;"F"))))),"")</f>
        <v/>
      </c>
      <c r="BD12" s="49" t="str" cm="1">
        <f t="array" ref="BD12">+IFERROR(_xlfn.CONCAT(_xlfn.UNIQUE(_xlfn._xlws.FILTER(BD$19:BD$1010,(($A$19:$A$1010=$A12)*(BD$19:BD$1010&lt;&gt;0)*(BD$19:BD$1010&lt;&gt;"F"))))),"")</f>
        <v/>
      </c>
      <c r="BE12" s="49" t="str" cm="1">
        <f t="array" ref="BE12">+IFERROR(_xlfn.CONCAT(_xlfn.UNIQUE(_xlfn._xlws.FILTER(BE$19:BE$1010,(($A$19:$A$1010=$A12)*(BE$19:BE$1010&lt;&gt;0)*(BE$19:BE$1010&lt;&gt;"F"))))),"")</f>
        <v/>
      </c>
      <c r="BF12" s="50" t="str" cm="1">
        <f t="array" ref="BF12">+IFERROR(_xlfn.CONCAT(_xlfn.UNIQUE(_xlfn._xlws.FILTER(BF$19:BF$1010,(($A$19:$A$1010=$A12)*(BF$19:BF$1010&lt;&gt;0)*(BF$19:BF$1010&lt;&gt;"F"))))),"")</f>
        <v/>
      </c>
      <c r="BG12" s="48" t="str" cm="1">
        <f t="array" ref="BG12">+IFERROR(_xlfn.CONCAT(_xlfn.UNIQUE(_xlfn._xlws.FILTER(BG$19:BG$1010,(($A$19:$A$1010=$A12)*(BG$19:BG$1010&lt;&gt;0)*(BG$19:BG$1010&lt;&gt;"F"))))),"")</f>
        <v/>
      </c>
      <c r="BH12" s="49" t="str" cm="1">
        <f t="array" ref="BH12">+IFERROR(_xlfn.CONCAT(_xlfn.UNIQUE(_xlfn._xlws.FILTER(BH$19:BH$1010,(($A$19:$A$1010=$A12)*(BH$19:BH$1010&lt;&gt;0)*(BH$19:BH$1010&lt;&gt;"F"))))),"")</f>
        <v/>
      </c>
      <c r="BI12" s="49" t="str" cm="1">
        <f t="array" ref="BI12">+IFERROR(_xlfn.CONCAT(_xlfn.UNIQUE(_xlfn._xlws.FILTER(BI$19:BI$1010,(($A$19:$A$1010=$A12)*(BI$19:BI$1010&lt;&gt;0)*(BI$19:BI$1010&lt;&gt;"F"))))),"")</f>
        <v/>
      </c>
      <c r="BJ12" s="49" t="str" cm="1">
        <f t="array" ref="BJ12">+IFERROR(_xlfn.CONCAT(_xlfn.UNIQUE(_xlfn._xlws.FILTER(BJ$19:BJ$1010,(($A$19:$A$1010=$A12)*(BJ$19:BJ$1010&lt;&gt;0)*(BJ$19:BJ$1010&lt;&gt;"F"))))),"")</f>
        <v/>
      </c>
      <c r="BK12" s="50" t="str" cm="1">
        <f t="array" ref="BK12">+IFERROR(_xlfn.CONCAT(_xlfn.UNIQUE(_xlfn._xlws.FILTER(BK$19:BK$1010,(($A$19:$A$1010=$A12)*(BK$19:BK$1010&lt;&gt;0)*(BK$19:BK$1010&lt;&gt;"F"))))),"")</f>
        <v/>
      </c>
      <c r="BL12" s="48" t="str" cm="1">
        <f t="array" ref="BL12">+IFERROR(_xlfn.CONCAT(_xlfn.UNIQUE(_xlfn._xlws.FILTER(BL$19:BL$1010,(($A$19:$A$1010=$A12)*(BL$19:BL$1010&lt;&gt;0)*(BL$19:BL$1010&lt;&gt;"F"))))),"")</f>
        <v/>
      </c>
      <c r="BM12" s="49" t="str" cm="1">
        <f t="array" ref="BM12">+IFERROR(_xlfn.CONCAT(_xlfn.UNIQUE(_xlfn._xlws.FILTER(BM$19:BM$1010,(($A$19:$A$1010=$A12)*(BM$19:BM$1010&lt;&gt;0)*(BM$19:BM$1010&lt;&gt;"F"))))),"")</f>
        <v/>
      </c>
      <c r="BN12" s="49" t="str" cm="1">
        <f t="array" ref="BN12">+IFERROR(_xlfn.CONCAT(_xlfn.UNIQUE(_xlfn._xlws.FILTER(BN$19:BN$1010,(($A$19:$A$1010=$A12)*(BN$19:BN$1010&lt;&gt;0)*(BN$19:BN$1010&lt;&gt;"F"))))),"")</f>
        <v/>
      </c>
      <c r="BO12" s="50" t="str" cm="1">
        <f t="array" ref="BO12">+IFERROR(_xlfn.CONCAT(_xlfn.UNIQUE(_xlfn._xlws.FILTER(BO$19:BO$1010,(($A$19:$A$1010=$A12)*(BO$19:BO$1010&lt;&gt;0)*(BO$19:BO$1010&lt;&gt;"F"))))),"")</f>
        <v/>
      </c>
      <c r="BP12" s="48" t="str" cm="1">
        <f t="array" ref="BP12">+IFERROR(_xlfn.CONCAT(_xlfn.UNIQUE(_xlfn._xlws.FILTER(BP$19:BP$1010,(($A$19:$A$1010=$A12)*(BP$19:BP$1010&lt;&gt;0)*(BP$19:BP$1010&lt;&gt;"F"))))),"")</f>
        <v/>
      </c>
      <c r="BQ12" s="49" t="str" cm="1">
        <f t="array" ref="BQ12">+IFERROR(_xlfn.CONCAT(_xlfn.UNIQUE(_xlfn._xlws.FILTER(BQ$19:BQ$1010,(($A$19:$A$1010=$A12)*(BQ$19:BQ$1010&lt;&gt;0)*(BQ$19:BQ$1010&lt;&gt;"F"))))),"")</f>
        <v/>
      </c>
      <c r="BR12" s="49" t="str" cm="1">
        <f t="array" ref="BR12">+IFERROR(_xlfn.CONCAT(_xlfn.UNIQUE(_xlfn._xlws.FILTER(BR$19:BR$1010,(($A$19:$A$1010=$A12)*(BR$19:BR$1010&lt;&gt;0)*(BR$19:BR$1010&lt;&gt;"F"))))),"")</f>
        <v/>
      </c>
      <c r="BS12" s="50" t="str" cm="1">
        <f t="array" ref="BS12">+IFERROR(_xlfn.CONCAT(_xlfn.UNIQUE(_xlfn._xlws.FILTER(BS$19:BS$1010,(($A$19:$A$1010=$A12)*(BS$19:BS$1010&lt;&gt;0)*(BS$19:BS$1010&lt;&gt;"F"))))),"")</f>
        <v/>
      </c>
    </row>
    <row r="13" spans="1:71" x14ac:dyDescent="0.4">
      <c r="A13" s="10" t="str">
        <v>RAVEX - BALDEIO PARCIAL</v>
      </c>
      <c r="C13" s="11">
        <v>0</v>
      </c>
      <c r="D13" s="12" t="str">
        <v>Melhoria de Processo</v>
      </c>
      <c r="E13" s="12" t="str">
        <v>Evolução, Melhoria ou Adequação</v>
      </c>
      <c r="F13" s="12" t="str">
        <v>Alta</v>
      </c>
    </row>
    <row r="15" spans="1:71" ht="21.6" x14ac:dyDescent="0.4">
      <c r="G15" s="36" t="s">
        <v>163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</row>
    <row r="16" spans="1:71" x14ac:dyDescent="0.4">
      <c r="G16" s="39" t="s">
        <v>142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1"/>
      <c r="T16" s="39" t="s">
        <v>143</v>
      </c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1"/>
      <c r="AG16" s="39" t="s">
        <v>144</v>
      </c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1"/>
      <c r="AT16" s="39" t="s">
        <v>145</v>
      </c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1"/>
      <c r="BG16" s="39" t="s">
        <v>146</v>
      </c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1"/>
    </row>
    <row r="17" spans="1:71" x14ac:dyDescent="0.4">
      <c r="G17" s="39" t="s">
        <v>137</v>
      </c>
      <c r="H17" s="40"/>
      <c r="I17" s="40"/>
      <c r="J17" s="40"/>
      <c r="K17" s="41"/>
      <c r="L17" s="39" t="s">
        <v>138</v>
      </c>
      <c r="M17" s="40"/>
      <c r="N17" s="40"/>
      <c r="O17" s="41"/>
      <c r="P17" s="39" t="s">
        <v>139</v>
      </c>
      <c r="Q17" s="40"/>
      <c r="R17" s="40"/>
      <c r="S17" s="41"/>
      <c r="T17" s="39" t="s">
        <v>128</v>
      </c>
      <c r="U17" s="40"/>
      <c r="V17" s="40"/>
      <c r="W17" s="40"/>
      <c r="X17" s="41"/>
      <c r="Y17" s="39" t="s">
        <v>129</v>
      </c>
      <c r="Z17" s="40"/>
      <c r="AA17" s="40"/>
      <c r="AB17" s="41"/>
      <c r="AC17" s="39" t="s">
        <v>130</v>
      </c>
      <c r="AD17" s="40"/>
      <c r="AE17" s="40"/>
      <c r="AF17" s="41"/>
      <c r="AG17" s="39" t="s">
        <v>131</v>
      </c>
      <c r="AH17" s="40"/>
      <c r="AI17" s="40"/>
      <c r="AJ17" s="40"/>
      <c r="AK17" s="41"/>
      <c r="AL17" s="39" t="s">
        <v>132</v>
      </c>
      <c r="AM17" s="40"/>
      <c r="AN17" s="40"/>
      <c r="AO17" s="41"/>
      <c r="AP17" s="39" t="s">
        <v>133</v>
      </c>
      <c r="AQ17" s="40"/>
      <c r="AR17" s="40"/>
      <c r="AS17" s="41"/>
      <c r="AT17" s="39" t="s">
        <v>134</v>
      </c>
      <c r="AU17" s="40"/>
      <c r="AV17" s="40"/>
      <c r="AW17" s="40"/>
      <c r="AX17" s="41"/>
      <c r="AY17" s="39" t="s">
        <v>135</v>
      </c>
      <c r="AZ17" s="40"/>
      <c r="BA17" s="40"/>
      <c r="BB17" s="41"/>
      <c r="BC17" s="39" t="s">
        <v>136</v>
      </c>
      <c r="BD17" s="40"/>
      <c r="BE17" s="40"/>
      <c r="BF17" s="41"/>
      <c r="BG17" s="39" t="s">
        <v>137</v>
      </c>
      <c r="BH17" s="40"/>
      <c r="BI17" s="40"/>
      <c r="BJ17" s="40"/>
      <c r="BK17" s="41"/>
      <c r="BL17" s="39" t="s">
        <v>138</v>
      </c>
      <c r="BM17" s="40"/>
      <c r="BN17" s="40"/>
      <c r="BO17" s="41"/>
      <c r="BP17" s="39" t="s">
        <v>139</v>
      </c>
      <c r="BQ17" s="40"/>
      <c r="BR17" s="40"/>
      <c r="BS17" s="41"/>
    </row>
    <row r="18" spans="1:71" x14ac:dyDescent="0.4">
      <c r="G18" s="37">
        <v>40</v>
      </c>
      <c r="H18" s="12">
        <v>41</v>
      </c>
      <c r="I18" s="12">
        <v>42</v>
      </c>
      <c r="J18" s="12">
        <v>43</v>
      </c>
      <c r="K18" s="38">
        <v>44</v>
      </c>
      <c r="L18" s="37">
        <v>45</v>
      </c>
      <c r="M18" s="12">
        <v>46</v>
      </c>
      <c r="N18" s="12">
        <v>47</v>
      </c>
      <c r="O18" s="38">
        <v>48</v>
      </c>
      <c r="P18" s="37">
        <v>49</v>
      </c>
      <c r="Q18" s="12">
        <v>50</v>
      </c>
      <c r="R18" s="12">
        <v>51</v>
      </c>
      <c r="S18" s="38">
        <v>52</v>
      </c>
      <c r="T18" s="37">
        <v>1</v>
      </c>
      <c r="U18" s="12">
        <v>2</v>
      </c>
      <c r="V18" s="12">
        <v>3</v>
      </c>
      <c r="W18" s="12">
        <v>4</v>
      </c>
      <c r="X18" s="38">
        <v>5</v>
      </c>
      <c r="Y18" s="37">
        <v>6</v>
      </c>
      <c r="Z18" s="12">
        <v>7</v>
      </c>
      <c r="AA18" s="12">
        <v>8</v>
      </c>
      <c r="AB18" s="38">
        <v>9</v>
      </c>
      <c r="AC18" s="37">
        <v>10</v>
      </c>
      <c r="AD18" s="12">
        <v>11</v>
      </c>
      <c r="AE18" s="12">
        <v>12</v>
      </c>
      <c r="AF18" s="38">
        <v>13</v>
      </c>
      <c r="AG18" s="37">
        <v>14</v>
      </c>
      <c r="AH18" s="12">
        <v>15</v>
      </c>
      <c r="AI18" s="12">
        <v>16</v>
      </c>
      <c r="AJ18" s="12">
        <v>17</v>
      </c>
      <c r="AK18" s="38">
        <v>18</v>
      </c>
      <c r="AL18" s="37">
        <v>19</v>
      </c>
      <c r="AM18" s="12">
        <v>20</v>
      </c>
      <c r="AN18" s="12">
        <v>21</v>
      </c>
      <c r="AO18" s="38">
        <v>22</v>
      </c>
      <c r="AP18" s="37">
        <v>23</v>
      </c>
      <c r="AQ18" s="12">
        <v>24</v>
      </c>
      <c r="AR18" s="12">
        <v>25</v>
      </c>
      <c r="AS18" s="38">
        <v>26</v>
      </c>
      <c r="AT18" s="37">
        <v>27</v>
      </c>
      <c r="AU18" s="12">
        <v>28</v>
      </c>
      <c r="AV18" s="12">
        <v>29</v>
      </c>
      <c r="AW18" s="12">
        <v>30</v>
      </c>
      <c r="AX18" s="38">
        <v>31</v>
      </c>
      <c r="AY18" s="37">
        <v>32</v>
      </c>
      <c r="AZ18" s="12">
        <v>33</v>
      </c>
      <c r="BA18" s="12">
        <v>34</v>
      </c>
      <c r="BB18" s="38">
        <v>35</v>
      </c>
      <c r="BC18" s="37">
        <v>36</v>
      </c>
      <c r="BD18" s="12">
        <v>37</v>
      </c>
      <c r="BE18" s="12">
        <v>38</v>
      </c>
      <c r="BF18" s="38">
        <v>39</v>
      </c>
      <c r="BG18" s="37">
        <v>40</v>
      </c>
      <c r="BH18" s="12">
        <v>41</v>
      </c>
      <c r="BI18" s="12">
        <v>42</v>
      </c>
      <c r="BJ18" s="12">
        <v>43</v>
      </c>
      <c r="BK18" s="38">
        <v>44</v>
      </c>
      <c r="BL18" s="37">
        <v>45</v>
      </c>
      <c r="BM18" s="12">
        <v>46</v>
      </c>
      <c r="BN18" s="12">
        <v>47</v>
      </c>
      <c r="BO18" s="38">
        <v>48</v>
      </c>
      <c r="BP18" s="37">
        <v>49</v>
      </c>
      <c r="BQ18" s="12">
        <v>50</v>
      </c>
      <c r="BR18" s="12">
        <v>51</v>
      </c>
      <c r="BS18" s="38">
        <v>52</v>
      </c>
    </row>
    <row r="19" spans="1:71" ht="30" customHeight="1" x14ac:dyDescent="0.4">
      <c r="A19" s="17" t="s">
        <v>54</v>
      </c>
      <c r="B19" s="18" t="e" vm="1">
        <f>+_xlfn.XLOOKUP($A19,tab_recursos[nome_recurso],tab_recursos[foto_recurso],"")</f>
        <v>#VALUE!</v>
      </c>
      <c r="C19" s="19"/>
      <c r="D19" s="20"/>
      <c r="E19" s="20"/>
      <c r="F19" s="2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2"/>
      <c r="W19" s="52"/>
      <c r="X19" s="52"/>
      <c r="Y19" s="52"/>
      <c r="Z19" s="52"/>
      <c r="AA19" s="52"/>
      <c r="AB19" s="52"/>
      <c r="AC19" s="52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</row>
    <row r="20" spans="1:71" s="13" customFormat="1" ht="39.9" customHeight="1" x14ac:dyDescent="0.3">
      <c r="A20" s="25" t="s">
        <v>103</v>
      </c>
      <c r="B20" s="25"/>
      <c r="C20" s="23" t="e" cm="1">
        <f t="array" ref="C20">+_xlfn.XLOOKUP($A20,tab_projetos[nome_projeto],tab_projetos[[ganho_projetado]:[complexidade]])</f>
        <v>#N/A</v>
      </c>
      <c r="D20" s="24"/>
      <c r="E20" s="24"/>
      <c r="F20" s="24"/>
      <c r="G20" s="53"/>
      <c r="H20" s="53"/>
      <c r="I20" s="53"/>
      <c r="J20" s="53"/>
      <c r="K20" s="53"/>
      <c r="L20" s="53"/>
      <c r="M20" s="53"/>
      <c r="N20" s="53" t="s">
        <v>16</v>
      </c>
      <c r="O20" s="53" t="s">
        <v>15</v>
      </c>
      <c r="P20" s="53" t="s">
        <v>15</v>
      </c>
      <c r="Q20" s="53" t="s">
        <v>15</v>
      </c>
      <c r="R20" s="53" t="s">
        <v>14</v>
      </c>
      <c r="S20" s="53" t="s">
        <v>14</v>
      </c>
      <c r="T20" s="53" t="s">
        <v>191</v>
      </c>
      <c r="U20" s="53" t="s">
        <v>191</v>
      </c>
      <c r="V20" s="53" t="s">
        <v>191</v>
      </c>
      <c r="W20" s="53" t="s">
        <v>191</v>
      </c>
      <c r="X20" s="53" t="s">
        <v>191</v>
      </c>
      <c r="Y20" s="53" t="s">
        <v>17</v>
      </c>
      <c r="Z20" s="53" t="s">
        <v>17</v>
      </c>
      <c r="AA20" s="53" t="s">
        <v>18</v>
      </c>
      <c r="AB20" s="53" t="s">
        <v>18</v>
      </c>
      <c r="AC20" s="53" t="s">
        <v>165</v>
      </c>
      <c r="AD20" s="53" t="s">
        <v>165</v>
      </c>
      <c r="AE20" s="53" t="s">
        <v>164</v>
      </c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</row>
    <row r="21" spans="1:71" s="13" customFormat="1" ht="39.9" customHeight="1" x14ac:dyDescent="0.3">
      <c r="A21" s="25" t="s">
        <v>102</v>
      </c>
      <c r="B21" s="25"/>
      <c r="C21" s="23" t="e" cm="1">
        <f t="array" ref="C21">+_xlfn.XLOOKUP($A21,tab_projetos[nome_projeto],tab_projetos[[ganho_projetado]:[complexidade]])</f>
        <v>#N/A</v>
      </c>
      <c r="D21" s="24"/>
      <c r="E21" s="24"/>
      <c r="F21" s="24"/>
      <c r="G21" s="53"/>
      <c r="H21" s="53"/>
      <c r="I21" s="53"/>
      <c r="J21" s="53"/>
      <c r="K21" s="53"/>
      <c r="L21" s="53"/>
      <c r="M21" s="53"/>
      <c r="N21" s="53"/>
      <c r="O21" s="53" t="s">
        <v>16</v>
      </c>
      <c r="P21" s="53" t="s">
        <v>15</v>
      </c>
      <c r="Q21" s="53" t="s">
        <v>15</v>
      </c>
      <c r="R21" s="53" t="s">
        <v>15</v>
      </c>
      <c r="S21" s="53" t="s">
        <v>14</v>
      </c>
      <c r="T21" s="53" t="s">
        <v>191</v>
      </c>
      <c r="U21" s="53" t="s">
        <v>191</v>
      </c>
      <c r="V21" s="53" t="s">
        <v>191</v>
      </c>
      <c r="W21" s="53" t="s">
        <v>191</v>
      </c>
      <c r="X21" s="53" t="s">
        <v>191</v>
      </c>
      <c r="Y21" s="53" t="s">
        <v>17</v>
      </c>
      <c r="Z21" s="53" t="s">
        <v>18</v>
      </c>
      <c r="AA21" s="53" t="s">
        <v>18</v>
      </c>
      <c r="AB21" s="53" t="s">
        <v>165</v>
      </c>
      <c r="AC21" s="53" t="s">
        <v>165</v>
      </c>
      <c r="AD21" s="53" t="s">
        <v>164</v>
      </c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</row>
    <row r="22" spans="1:71" s="13" customFormat="1" ht="39.9" customHeight="1" x14ac:dyDescent="0.3">
      <c r="A22" s="25" t="s">
        <v>104</v>
      </c>
      <c r="B22" s="25"/>
      <c r="C22" s="23" t="e" cm="1">
        <f t="array" ref="C22">+_xlfn.XLOOKUP($A22,tab_projetos[nome_projeto],tab_projetos[[ganho_projetado]:[complexidade]])</f>
        <v>#N/A</v>
      </c>
      <c r="D22" s="24"/>
      <c r="E22" s="24"/>
      <c r="F22" s="24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 t="s">
        <v>191</v>
      </c>
      <c r="U22" s="53" t="s">
        <v>191</v>
      </c>
      <c r="V22" s="53" t="s">
        <v>191</v>
      </c>
      <c r="W22" s="53" t="s">
        <v>191</v>
      </c>
      <c r="X22" s="53" t="s">
        <v>191</v>
      </c>
      <c r="Y22" s="53" t="s">
        <v>16</v>
      </c>
      <c r="Z22" s="53" t="s">
        <v>15</v>
      </c>
      <c r="AA22" s="53" t="s">
        <v>15</v>
      </c>
      <c r="AB22" s="53" t="s">
        <v>15</v>
      </c>
      <c r="AC22" s="53" t="s">
        <v>14</v>
      </c>
      <c r="AD22" s="53" t="s">
        <v>13</v>
      </c>
      <c r="AE22" s="53" t="s">
        <v>13</v>
      </c>
      <c r="AF22" s="53" t="s">
        <v>13</v>
      </c>
      <c r="AG22" s="53" t="s">
        <v>13</v>
      </c>
      <c r="AH22" s="53" t="s">
        <v>13</v>
      </c>
      <c r="AI22" s="53" t="s">
        <v>12</v>
      </c>
      <c r="AJ22" s="53" t="s">
        <v>17</v>
      </c>
      <c r="AK22" s="53" t="s">
        <v>17</v>
      </c>
      <c r="AL22" s="53" t="s">
        <v>18</v>
      </c>
      <c r="AM22" s="53" t="s">
        <v>18</v>
      </c>
      <c r="AN22" s="53" t="s">
        <v>165</v>
      </c>
      <c r="AO22" s="53" t="s">
        <v>165</v>
      </c>
      <c r="AP22" s="53" t="s">
        <v>164</v>
      </c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</row>
    <row r="23" spans="1:71" s="13" customFormat="1" ht="39.9" customHeight="1" x14ac:dyDescent="0.3">
      <c r="A23" s="25" t="s">
        <v>105</v>
      </c>
      <c r="B23" s="25"/>
      <c r="C23" s="23" cm="1">
        <f t="array" ref="C23:F23">+_xlfn.XLOOKUP($A23,tab_projetos[nome_projeto],tab_projetos[[ganho_projetado]:[complexidade]])</f>
        <v>3600000</v>
      </c>
      <c r="D23" s="24" t="str">
        <v>Evolução do Produto</v>
      </c>
      <c r="E23" s="24" t="str">
        <v>Evolução, Melhoria ou Adequação</v>
      </c>
      <c r="F23" s="24" t="str">
        <v>Muito Alta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 t="s">
        <v>191</v>
      </c>
      <c r="U23" s="53" t="s">
        <v>191</v>
      </c>
      <c r="V23" s="53" t="s">
        <v>191</v>
      </c>
      <c r="W23" s="53" t="s">
        <v>191</v>
      </c>
      <c r="X23" s="53" t="s">
        <v>191</v>
      </c>
      <c r="Y23" s="53"/>
      <c r="Z23" s="53"/>
      <c r="AA23" s="53"/>
      <c r="AB23" s="53" t="s">
        <v>16</v>
      </c>
      <c r="AC23" s="53" t="s">
        <v>15</v>
      </c>
      <c r="AD23" s="53" t="s">
        <v>15</v>
      </c>
      <c r="AE23" s="53" t="s">
        <v>15</v>
      </c>
      <c r="AF23" s="53" t="s">
        <v>15</v>
      </c>
      <c r="AG23" s="53" t="s">
        <v>14</v>
      </c>
      <c r="AH23" s="53" t="s">
        <v>13</v>
      </c>
      <c r="AI23" s="53" t="s">
        <v>13</v>
      </c>
      <c r="AJ23" s="53" t="s">
        <v>13</v>
      </c>
      <c r="AK23" s="53" t="s">
        <v>13</v>
      </c>
      <c r="AL23" s="53" t="s">
        <v>13</v>
      </c>
      <c r="AM23" s="53" t="s">
        <v>13</v>
      </c>
      <c r="AN23" s="53" t="s">
        <v>13</v>
      </c>
      <c r="AO23" s="53" t="s">
        <v>13</v>
      </c>
      <c r="AP23" s="53" t="s">
        <v>13</v>
      </c>
      <c r="AQ23" s="53" t="s">
        <v>13</v>
      </c>
      <c r="AR23" s="53" t="s">
        <v>13</v>
      </c>
      <c r="AS23" s="53" t="s">
        <v>13</v>
      </c>
      <c r="AT23" s="53" t="s">
        <v>13</v>
      </c>
      <c r="AU23" s="53" t="s">
        <v>13</v>
      </c>
      <c r="AV23" s="53" t="s">
        <v>13</v>
      </c>
      <c r="AW23" s="53" t="s">
        <v>13</v>
      </c>
      <c r="AX23" s="53" t="s">
        <v>12</v>
      </c>
      <c r="AY23" s="53" t="s">
        <v>17</v>
      </c>
      <c r="AZ23" s="53" t="s">
        <v>17</v>
      </c>
      <c r="BA23" s="53" t="s">
        <v>17</v>
      </c>
      <c r="BB23" s="53" t="s">
        <v>165</v>
      </c>
      <c r="BC23" s="53" t="s">
        <v>165</v>
      </c>
      <c r="BD23" s="53" t="s">
        <v>165</v>
      </c>
      <c r="BE23" s="53" t="s">
        <v>165</v>
      </c>
      <c r="BF23" s="53" t="s">
        <v>164</v>
      </c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</row>
    <row r="24" spans="1:71" s="13" customFormat="1" ht="39.9" customHeight="1" x14ac:dyDescent="0.3">
      <c r="A24" s="59" t="s">
        <v>186</v>
      </c>
      <c r="B24" s="25"/>
      <c r="C24" s="23" t="e" cm="1">
        <f t="array" ref="C24">+_xlfn.XLOOKUP($A24,tab_projetos[nome_projeto],tab_projetos[[ganho_projetado]:[complexidade]])</f>
        <v>#N/A</v>
      </c>
      <c r="D24" s="24"/>
      <c r="E24" s="24"/>
      <c r="F24" s="24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 t="s">
        <v>191</v>
      </c>
      <c r="U24" s="53" t="s">
        <v>191</v>
      </c>
      <c r="V24" s="53" t="s">
        <v>191</v>
      </c>
      <c r="W24" s="53" t="s">
        <v>191</v>
      </c>
      <c r="X24" s="53" t="s">
        <v>191</v>
      </c>
      <c r="Y24" s="53"/>
      <c r="Z24" s="53"/>
      <c r="AA24" s="53"/>
      <c r="AB24" s="53"/>
      <c r="AC24" s="53"/>
      <c r="AD24" s="53"/>
      <c r="AE24" s="53"/>
      <c r="AF24" s="53"/>
      <c r="AG24" s="53" t="s">
        <v>16</v>
      </c>
      <c r="AH24" s="53" t="s">
        <v>15</v>
      </c>
      <c r="AI24" s="53" t="s">
        <v>14</v>
      </c>
      <c r="AJ24" s="53" t="s">
        <v>13</v>
      </c>
      <c r="AK24" s="53" t="s">
        <v>13</v>
      </c>
      <c r="AL24" s="53" t="s">
        <v>13</v>
      </c>
      <c r="AM24" s="53" t="s">
        <v>13</v>
      </c>
      <c r="AN24" s="53" t="s">
        <v>12</v>
      </c>
      <c r="AO24" s="53" t="s">
        <v>17</v>
      </c>
      <c r="AP24" s="53" t="s">
        <v>18</v>
      </c>
      <c r="AQ24" s="53" t="s">
        <v>165</v>
      </c>
      <c r="AR24" s="53" t="s">
        <v>164</v>
      </c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</row>
    <row r="25" spans="1:71" s="13" customFormat="1" ht="39.9" customHeight="1" x14ac:dyDescent="0.3">
      <c r="A25" s="59" t="s">
        <v>187</v>
      </c>
      <c r="B25" s="25"/>
      <c r="C25" s="23" t="e" cm="1">
        <f t="array" ref="C25">+_xlfn.XLOOKUP($A25,tab_projetos[nome_projeto],tab_projetos[[ganho_projetado]:[complexidade]])</f>
        <v>#N/A</v>
      </c>
      <c r="D25" s="24"/>
      <c r="E25" s="24"/>
      <c r="F25" s="24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 t="s">
        <v>191</v>
      </c>
      <c r="U25" s="53" t="s">
        <v>191</v>
      </c>
      <c r="V25" s="53" t="s">
        <v>191</v>
      </c>
      <c r="W25" s="53" t="s">
        <v>191</v>
      </c>
      <c r="X25" s="53" t="s">
        <v>191</v>
      </c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 t="s">
        <v>16</v>
      </c>
      <c r="AJ25" s="53" t="s">
        <v>15</v>
      </c>
      <c r="AK25" s="53" t="s">
        <v>15</v>
      </c>
      <c r="AL25" s="53" t="s">
        <v>15</v>
      </c>
      <c r="AM25" s="53" t="s">
        <v>14</v>
      </c>
      <c r="AN25" s="53" t="s">
        <v>14</v>
      </c>
      <c r="AO25" s="53" t="s">
        <v>13</v>
      </c>
      <c r="AP25" s="53" t="s">
        <v>13</v>
      </c>
      <c r="AQ25" s="53" t="s">
        <v>13</v>
      </c>
      <c r="AR25" s="53" t="s">
        <v>13</v>
      </c>
      <c r="AS25" s="53" t="s">
        <v>13</v>
      </c>
      <c r="AT25" s="53" t="s">
        <v>13</v>
      </c>
      <c r="AU25" s="53" t="s">
        <v>13</v>
      </c>
      <c r="AV25" s="53" t="s">
        <v>13</v>
      </c>
      <c r="AW25" s="53" t="s">
        <v>12</v>
      </c>
      <c r="AX25" s="53" t="s">
        <v>17</v>
      </c>
      <c r="AY25" s="53" t="s">
        <v>17</v>
      </c>
      <c r="AZ25" s="53" t="s">
        <v>18</v>
      </c>
      <c r="BA25" s="53" t="s">
        <v>18</v>
      </c>
      <c r="BB25" s="53" t="s">
        <v>165</v>
      </c>
      <c r="BC25" s="53" t="s">
        <v>165</v>
      </c>
      <c r="BD25" s="53" t="s">
        <v>164</v>
      </c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</row>
    <row r="26" spans="1:71" s="13" customFormat="1" ht="39.9" customHeight="1" x14ac:dyDescent="0.3">
      <c r="A26" s="60" t="s">
        <v>188</v>
      </c>
      <c r="C26" s="11" t="e" cm="1">
        <f t="array" ref="C26">+_xlfn.XLOOKUP($A26,tab_projetos[nome_projeto],tab_projetos[[ganho_projetado]:[complexidade]])</f>
        <v>#N/A</v>
      </c>
      <c r="D26" s="12"/>
      <c r="E26" s="12"/>
      <c r="F26" s="12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 t="s">
        <v>191</v>
      </c>
      <c r="U26" s="46" t="s">
        <v>191</v>
      </c>
      <c r="V26" s="46" t="s">
        <v>191</v>
      </c>
      <c r="W26" s="46" t="s">
        <v>191</v>
      </c>
      <c r="X26" s="46" t="s">
        <v>191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 t="s">
        <v>16</v>
      </c>
      <c r="AS26" s="46" t="s">
        <v>15</v>
      </c>
      <c r="AT26" s="46" t="s">
        <v>15</v>
      </c>
      <c r="AU26" s="46" t="s">
        <v>15</v>
      </c>
      <c r="AV26" s="46" t="s">
        <v>14</v>
      </c>
      <c r="AW26" s="46" t="s">
        <v>14</v>
      </c>
      <c r="AX26" s="46" t="s">
        <v>13</v>
      </c>
      <c r="AY26" s="46" t="s">
        <v>13</v>
      </c>
      <c r="AZ26" s="46" t="s">
        <v>13</v>
      </c>
      <c r="BA26" s="46" t="s">
        <v>13</v>
      </c>
      <c r="BB26" s="46" t="s">
        <v>13</v>
      </c>
      <c r="BC26" s="46" t="s">
        <v>13</v>
      </c>
      <c r="BD26" s="46" t="s">
        <v>13</v>
      </c>
      <c r="BE26" s="46" t="s">
        <v>13</v>
      </c>
      <c r="BF26" s="46" t="s">
        <v>12</v>
      </c>
      <c r="BG26" s="46" t="s">
        <v>17</v>
      </c>
      <c r="BH26" s="46" t="s">
        <v>17</v>
      </c>
      <c r="BI26" s="46" t="s">
        <v>18</v>
      </c>
      <c r="BJ26" s="46" t="s">
        <v>18</v>
      </c>
      <c r="BK26" s="46" t="s">
        <v>165</v>
      </c>
      <c r="BL26" s="46" t="s">
        <v>165</v>
      </c>
      <c r="BM26" s="46" t="s">
        <v>164</v>
      </c>
      <c r="BN26" s="46"/>
      <c r="BO26" s="46"/>
      <c r="BP26" s="46"/>
      <c r="BQ26" s="46"/>
      <c r="BR26" s="46"/>
      <c r="BS26" s="46"/>
    </row>
    <row r="27" spans="1:71" ht="30" customHeight="1" x14ac:dyDescent="0.4">
      <c r="A27" s="17" t="s">
        <v>55</v>
      </c>
      <c r="B27" s="18" t="str">
        <f>+_xlfn.XLOOKUP($A27,tab_recursos[nome_recurso],tab_recursos[foto_recurso],"")</f>
        <v/>
      </c>
      <c r="C27" s="19"/>
      <c r="D27" s="20"/>
      <c r="E27" s="20"/>
      <c r="F27" s="2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2"/>
      <c r="W27" s="52"/>
      <c r="X27" s="52"/>
      <c r="Y27" s="52"/>
      <c r="Z27" s="52"/>
      <c r="AA27" s="52"/>
      <c r="AB27" s="52"/>
      <c r="AC27" s="52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</row>
    <row r="28" spans="1:71" s="13" customFormat="1" ht="39.9" customHeight="1" x14ac:dyDescent="0.3">
      <c r="A28" s="25" t="s">
        <v>103</v>
      </c>
      <c r="B28" s="25"/>
      <c r="C28" s="23" t="e" cm="1">
        <f t="array" ref="C28">+_xlfn.XLOOKUP($A28,tab_projetos[nome_projeto],tab_projetos[[ganho_projetado]:[complexidade]])</f>
        <v>#N/A</v>
      </c>
      <c r="D28" s="24"/>
      <c r="E28" s="24"/>
      <c r="F28" s="24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 t="s">
        <v>14</v>
      </c>
      <c r="S28" s="53" t="s">
        <v>14</v>
      </c>
      <c r="T28" s="53" t="s">
        <v>13</v>
      </c>
      <c r="U28" s="53" t="s">
        <v>13</v>
      </c>
      <c r="V28" s="53" t="s">
        <v>13</v>
      </c>
      <c r="W28" s="53" t="s">
        <v>13</v>
      </c>
      <c r="X28" s="53" t="s">
        <v>12</v>
      </c>
      <c r="Y28" s="53" t="s">
        <v>17</v>
      </c>
      <c r="Z28" s="53" t="s">
        <v>17</v>
      </c>
      <c r="AA28" s="53" t="s">
        <v>18</v>
      </c>
      <c r="AB28" s="53" t="s">
        <v>18</v>
      </c>
      <c r="AC28" s="53" t="s">
        <v>165</v>
      </c>
      <c r="AD28" s="53" t="s">
        <v>165</v>
      </c>
      <c r="AE28" s="53" t="s">
        <v>164</v>
      </c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</row>
    <row r="29" spans="1:71" s="13" customFormat="1" ht="39.9" customHeight="1" x14ac:dyDescent="0.3">
      <c r="A29" s="25" t="s">
        <v>104</v>
      </c>
      <c r="B29" s="25"/>
      <c r="C29" s="23" t="e" cm="1">
        <f t="array" ref="C29">+_xlfn.XLOOKUP($A29,tab_projetos[nome_projeto],tab_projetos[[ganho_projetado]:[complexidade]])</f>
        <v>#N/A</v>
      </c>
      <c r="D29" s="24"/>
      <c r="E29" s="24"/>
      <c r="F29" s="24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 t="s">
        <v>14</v>
      </c>
      <c r="AD29" s="53" t="s">
        <v>13</v>
      </c>
      <c r="AE29" s="53" t="s">
        <v>13</v>
      </c>
      <c r="AF29" s="53" t="s">
        <v>13</v>
      </c>
      <c r="AG29" s="53" t="s">
        <v>13</v>
      </c>
      <c r="AH29" s="53" t="s">
        <v>13</v>
      </c>
      <c r="AI29" s="53" t="s">
        <v>12</v>
      </c>
      <c r="AJ29" s="53" t="s">
        <v>17</v>
      </c>
      <c r="AK29" s="53" t="s">
        <v>17</v>
      </c>
      <c r="AL29" s="53" t="s">
        <v>18</v>
      </c>
      <c r="AM29" s="53" t="s">
        <v>18</v>
      </c>
      <c r="AN29" s="53" t="s">
        <v>165</v>
      </c>
      <c r="AO29" s="53" t="s">
        <v>165</v>
      </c>
      <c r="AP29" s="53" t="s">
        <v>164</v>
      </c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</row>
    <row r="30" spans="1:71" s="13" customFormat="1" ht="39.9" customHeight="1" x14ac:dyDescent="0.3">
      <c r="A30" s="59" t="s">
        <v>186</v>
      </c>
      <c r="B30" s="25"/>
      <c r="C30" s="23" t="e" cm="1">
        <f t="array" ref="C30">+_xlfn.XLOOKUP($A30,tab_projetos[nome_projeto],tab_projetos[[ganho_projetado]:[complexidade]])</f>
        <v>#N/A</v>
      </c>
      <c r="D30" s="24"/>
      <c r="E30" s="24"/>
      <c r="F30" s="24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 t="s">
        <v>14</v>
      </c>
      <c r="AJ30" s="53" t="s">
        <v>13</v>
      </c>
      <c r="AK30" s="53" t="s">
        <v>13</v>
      </c>
      <c r="AL30" s="53" t="s">
        <v>13</v>
      </c>
      <c r="AM30" s="53" t="s">
        <v>13</v>
      </c>
      <c r="AN30" s="53" t="s">
        <v>12</v>
      </c>
      <c r="AO30" s="53" t="s">
        <v>17</v>
      </c>
      <c r="AP30" s="53" t="s">
        <v>18</v>
      </c>
      <c r="AQ30" s="53" t="s">
        <v>165</v>
      </c>
      <c r="AR30" s="53" t="s">
        <v>164</v>
      </c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</row>
    <row r="31" spans="1:71" s="13" customFormat="1" ht="39.9" customHeight="1" x14ac:dyDescent="0.3">
      <c r="A31" s="59" t="s">
        <v>187</v>
      </c>
      <c r="B31" s="25"/>
      <c r="C31" s="23" t="e" cm="1">
        <f t="array" ref="C31">+_xlfn.XLOOKUP($A31,tab_projetos[nome_projeto],tab_projetos[[ganho_projetado]:[complexidade]])</f>
        <v>#N/A</v>
      </c>
      <c r="D31" s="24"/>
      <c r="E31" s="24"/>
      <c r="F31" s="24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 t="s">
        <v>14</v>
      </c>
      <c r="AN31" s="53" t="s">
        <v>14</v>
      </c>
      <c r="AO31" s="53" t="s">
        <v>13</v>
      </c>
      <c r="AP31" s="53" t="s">
        <v>13</v>
      </c>
      <c r="AQ31" s="53" t="s">
        <v>13</v>
      </c>
      <c r="AR31" s="53" t="s">
        <v>13</v>
      </c>
      <c r="AS31" s="53" t="s">
        <v>13</v>
      </c>
      <c r="AT31" s="53" t="s">
        <v>13</v>
      </c>
      <c r="AU31" s="53" t="s">
        <v>13</v>
      </c>
      <c r="AV31" s="53" t="s">
        <v>13</v>
      </c>
      <c r="AW31" s="53" t="s">
        <v>12</v>
      </c>
      <c r="AX31" s="53" t="s">
        <v>17</v>
      </c>
      <c r="AY31" s="53" t="s">
        <v>17</v>
      </c>
      <c r="AZ31" s="53" t="s">
        <v>18</v>
      </c>
      <c r="BA31" s="53" t="s">
        <v>18</v>
      </c>
      <c r="BB31" s="53" t="s">
        <v>165</v>
      </c>
      <c r="BC31" s="53" t="s">
        <v>165</v>
      </c>
      <c r="BD31" s="53" t="s">
        <v>164</v>
      </c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</row>
    <row r="32" spans="1:71" s="13" customFormat="1" ht="39.9" customHeight="1" x14ac:dyDescent="0.3">
      <c r="A32" s="60" t="s">
        <v>188</v>
      </c>
      <c r="C32" s="11" t="e" cm="1">
        <f t="array" ref="C32">+_xlfn.XLOOKUP($A32,tab_projetos[nome_projeto],tab_projetos[[ganho_projetado]:[complexidade]])</f>
        <v>#N/A</v>
      </c>
      <c r="D32" s="12"/>
      <c r="E32" s="12"/>
      <c r="F32" s="12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 t="s">
        <v>14</v>
      </c>
      <c r="AW32" s="46" t="s">
        <v>14</v>
      </c>
      <c r="AX32" s="46" t="s">
        <v>13</v>
      </c>
      <c r="AY32" s="46" t="s">
        <v>13</v>
      </c>
      <c r="AZ32" s="46" t="s">
        <v>13</v>
      </c>
      <c r="BA32" s="46" t="s">
        <v>13</v>
      </c>
      <c r="BB32" s="46" t="s">
        <v>13</v>
      </c>
      <c r="BC32" s="46" t="s">
        <v>13</v>
      </c>
      <c r="BD32" s="46" t="s">
        <v>13</v>
      </c>
      <c r="BE32" s="46" t="s">
        <v>13</v>
      </c>
      <c r="BF32" s="46" t="s">
        <v>12</v>
      </c>
      <c r="BG32" s="46" t="s">
        <v>17</v>
      </c>
      <c r="BH32" s="46" t="s">
        <v>17</v>
      </c>
      <c r="BI32" s="46" t="s">
        <v>18</v>
      </c>
      <c r="BJ32" s="46" t="s">
        <v>18</v>
      </c>
      <c r="BK32" s="46" t="s">
        <v>165</v>
      </c>
      <c r="BL32" s="46" t="s">
        <v>165</v>
      </c>
      <c r="BM32" s="46" t="s">
        <v>164</v>
      </c>
      <c r="BN32" s="46"/>
      <c r="BO32" s="46"/>
      <c r="BP32" s="46"/>
      <c r="BQ32" s="46"/>
      <c r="BR32" s="46"/>
      <c r="BS32" s="46"/>
    </row>
    <row r="33" spans="1:71" ht="30" customHeight="1" x14ac:dyDescent="0.4">
      <c r="A33" s="17" t="s">
        <v>56</v>
      </c>
      <c r="B33" s="18" t="e" vm="2">
        <f>+_xlfn.XLOOKUP($A33,tab_recursos[nome_recurso],tab_recursos[foto_recurso],"")</f>
        <v>#VALUE!</v>
      </c>
      <c r="C33" s="19"/>
      <c r="D33" s="20"/>
      <c r="E33" s="20"/>
      <c r="F33" s="20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2"/>
      <c r="W33" s="52"/>
      <c r="X33" s="52"/>
      <c r="Y33" s="52"/>
      <c r="Z33" s="52"/>
      <c r="AA33" s="52"/>
      <c r="AB33" s="52"/>
      <c r="AC33" s="52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</row>
    <row r="34" spans="1:71" s="13" customFormat="1" ht="39.9" customHeight="1" x14ac:dyDescent="0.3">
      <c r="A34" s="25" t="s">
        <v>103</v>
      </c>
      <c r="B34" s="25"/>
      <c r="C34" s="23" t="e" cm="1">
        <f t="array" ref="C34">+_xlfn.XLOOKUP($A34,tab_projetos[nome_projeto],tab_projetos[[ganho_projetado]:[complexidade]])</f>
        <v>#N/A</v>
      </c>
      <c r="D34" s="24"/>
      <c r="E34" s="24"/>
      <c r="F34" s="24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 t="s">
        <v>14</v>
      </c>
      <c r="S34" s="53" t="s">
        <v>14</v>
      </c>
      <c r="T34" s="53" t="s">
        <v>13</v>
      </c>
      <c r="U34" s="53" t="s">
        <v>13</v>
      </c>
      <c r="V34" s="53" t="s">
        <v>13</v>
      </c>
      <c r="W34" s="53" t="s">
        <v>13</v>
      </c>
      <c r="X34" s="53" t="s">
        <v>12</v>
      </c>
      <c r="Y34" s="53" t="s">
        <v>17</v>
      </c>
      <c r="Z34" s="53" t="s">
        <v>17</v>
      </c>
      <c r="AA34" s="53" t="s">
        <v>18</v>
      </c>
      <c r="AB34" s="53" t="s">
        <v>18</v>
      </c>
      <c r="AC34" s="53" t="s">
        <v>165</v>
      </c>
      <c r="AD34" s="53" t="s">
        <v>165</v>
      </c>
      <c r="AE34" s="53" t="s">
        <v>164</v>
      </c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</row>
    <row r="35" spans="1:71" s="13" customFormat="1" ht="39.9" customHeight="1" x14ac:dyDescent="0.3">
      <c r="A35" s="25" t="s">
        <v>102</v>
      </c>
      <c r="B35" s="25"/>
      <c r="C35" s="23" t="e" cm="1">
        <f t="array" ref="C35">+_xlfn.XLOOKUP($A35,tab_projetos[nome_projeto],tab_projetos[[ganho_projetado]:[complexidade]])</f>
        <v>#N/A</v>
      </c>
      <c r="D35" s="24"/>
      <c r="E35" s="24"/>
      <c r="F35" s="24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 t="s">
        <v>14</v>
      </c>
      <c r="T35" s="53" t="s">
        <v>13</v>
      </c>
      <c r="U35" s="53" t="s">
        <v>13</v>
      </c>
      <c r="V35" s="53" t="s">
        <v>13</v>
      </c>
      <c r="W35" s="53" t="s">
        <v>12</v>
      </c>
      <c r="X35" s="53" t="s">
        <v>17</v>
      </c>
      <c r="Y35" s="53" t="s">
        <v>17</v>
      </c>
      <c r="Z35" s="53" t="s">
        <v>18</v>
      </c>
      <c r="AA35" s="53" t="s">
        <v>18</v>
      </c>
      <c r="AB35" s="53" t="s">
        <v>165</v>
      </c>
      <c r="AC35" s="53" t="s">
        <v>165</v>
      </c>
      <c r="AD35" s="53" t="s">
        <v>164</v>
      </c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</row>
    <row r="36" spans="1:71" s="13" customFormat="1" ht="39.9" customHeight="1" x14ac:dyDescent="0.3">
      <c r="A36" s="25" t="s">
        <v>104</v>
      </c>
      <c r="B36" s="25"/>
      <c r="C36" s="23" t="e" cm="1">
        <f t="array" ref="C36">+_xlfn.XLOOKUP($A36,tab_projetos[nome_projeto],tab_projetos[[ganho_projetado]:[complexidade]])</f>
        <v>#N/A</v>
      </c>
      <c r="D36" s="24"/>
      <c r="E36" s="24"/>
      <c r="F36" s="24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 t="s">
        <v>14</v>
      </c>
      <c r="AD36" s="53" t="s">
        <v>13</v>
      </c>
      <c r="AE36" s="53" t="s">
        <v>13</v>
      </c>
      <c r="AF36" s="53" t="s">
        <v>13</v>
      </c>
      <c r="AG36" s="53" t="s">
        <v>13</v>
      </c>
      <c r="AH36" s="53" t="s">
        <v>13</v>
      </c>
      <c r="AI36" s="53" t="s">
        <v>12</v>
      </c>
      <c r="AJ36" s="53" t="s">
        <v>17</v>
      </c>
      <c r="AK36" s="53" t="s">
        <v>17</v>
      </c>
      <c r="AL36" s="53" t="s">
        <v>18</v>
      </c>
      <c r="AM36" s="53" t="s">
        <v>18</v>
      </c>
      <c r="AN36" s="53" t="s">
        <v>165</v>
      </c>
      <c r="AO36" s="53" t="s">
        <v>165</v>
      </c>
      <c r="AP36" s="53" t="s">
        <v>164</v>
      </c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</row>
    <row r="37" spans="1:71" s="13" customFormat="1" ht="39.9" customHeight="1" x14ac:dyDescent="0.3">
      <c r="A37" s="59" t="s">
        <v>105</v>
      </c>
      <c r="B37" s="25"/>
      <c r="C37" s="23" cm="1">
        <f t="array" ref="C37:F37">+_xlfn.XLOOKUP($A37,tab_projetos[nome_projeto],tab_projetos[[ganho_projetado]:[complexidade]])</f>
        <v>3600000</v>
      </c>
      <c r="D37" s="24" t="str">
        <v>Evolução do Produto</v>
      </c>
      <c r="E37" s="24" t="str">
        <v>Evolução, Melhoria ou Adequação</v>
      </c>
      <c r="F37" s="24" t="str">
        <v>Muito Alta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 t="s">
        <v>14</v>
      </c>
      <c r="AH37" s="53" t="s">
        <v>13</v>
      </c>
      <c r="AI37" s="53" t="s">
        <v>13</v>
      </c>
      <c r="AJ37" s="53" t="s">
        <v>13</v>
      </c>
      <c r="AK37" s="53" t="s">
        <v>13</v>
      </c>
      <c r="AL37" s="53" t="s">
        <v>13</v>
      </c>
      <c r="AM37" s="53" t="s">
        <v>13</v>
      </c>
      <c r="AN37" s="53" t="s">
        <v>13</v>
      </c>
      <c r="AO37" s="53" t="s">
        <v>13</v>
      </c>
      <c r="AP37" s="53" t="s">
        <v>13</v>
      </c>
      <c r="AQ37" s="53" t="s">
        <v>13</v>
      </c>
      <c r="AR37" s="53" t="s">
        <v>13</v>
      </c>
      <c r="AS37" s="53" t="s">
        <v>13</v>
      </c>
      <c r="AT37" s="53" t="s">
        <v>13</v>
      </c>
      <c r="AU37" s="53" t="s">
        <v>13</v>
      </c>
      <c r="AV37" s="53" t="s">
        <v>13</v>
      </c>
      <c r="AW37" s="53" t="s">
        <v>13</v>
      </c>
      <c r="AX37" s="53" t="s">
        <v>12</v>
      </c>
      <c r="AY37" s="53" t="s">
        <v>17</v>
      </c>
      <c r="AZ37" s="53" t="s">
        <v>17</v>
      </c>
      <c r="BA37" s="53" t="s">
        <v>17</v>
      </c>
      <c r="BB37" s="53" t="s">
        <v>165</v>
      </c>
      <c r="BC37" s="53" t="s">
        <v>165</v>
      </c>
      <c r="BD37" s="53" t="s">
        <v>165</v>
      </c>
      <c r="BE37" s="53" t="s">
        <v>165</v>
      </c>
      <c r="BF37" s="53" t="s">
        <v>164</v>
      </c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</row>
    <row r="38" spans="1:71" s="13" customFormat="1" ht="39.9" customHeight="1" x14ac:dyDescent="0.3">
      <c r="A38" s="59" t="s">
        <v>186</v>
      </c>
      <c r="B38" s="25"/>
      <c r="C38" s="23" t="e" cm="1">
        <f t="array" ref="C38">+_xlfn.XLOOKUP($A38,tab_projetos[nome_projeto],tab_projetos[[ganho_projetado]:[complexidade]])</f>
        <v>#N/A</v>
      </c>
      <c r="D38" s="24"/>
      <c r="E38" s="24"/>
      <c r="F38" s="24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 t="s">
        <v>14</v>
      </c>
      <c r="AJ38" s="53" t="s">
        <v>13</v>
      </c>
      <c r="AK38" s="53" t="s">
        <v>13</v>
      </c>
      <c r="AL38" s="53" t="s">
        <v>13</v>
      </c>
      <c r="AM38" s="53" t="s">
        <v>13</v>
      </c>
      <c r="AN38" s="53" t="s">
        <v>12</v>
      </c>
      <c r="AO38" s="53" t="s">
        <v>17</v>
      </c>
      <c r="AP38" s="53" t="s">
        <v>18</v>
      </c>
      <c r="AQ38" s="53" t="s">
        <v>165</v>
      </c>
      <c r="AR38" s="53" t="s">
        <v>164</v>
      </c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</row>
    <row r="39" spans="1:71" s="13" customFormat="1" ht="39.9" customHeight="1" x14ac:dyDescent="0.3">
      <c r="A39" s="59" t="s">
        <v>187</v>
      </c>
      <c r="B39" s="25"/>
      <c r="C39" s="23" t="e" cm="1">
        <f t="array" ref="C39">+_xlfn.XLOOKUP($A39,tab_projetos[nome_projeto],tab_projetos[[ganho_projetado]:[complexidade]])</f>
        <v>#N/A</v>
      </c>
      <c r="D39" s="24"/>
      <c r="E39" s="24"/>
      <c r="F39" s="24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 t="s">
        <v>14</v>
      </c>
      <c r="AN39" s="53" t="s">
        <v>14</v>
      </c>
      <c r="AO39" s="53" t="s">
        <v>13</v>
      </c>
      <c r="AP39" s="53" t="s">
        <v>13</v>
      </c>
      <c r="AQ39" s="53" t="s">
        <v>13</v>
      </c>
      <c r="AR39" s="53" t="s">
        <v>13</v>
      </c>
      <c r="AS39" s="53" t="s">
        <v>13</v>
      </c>
      <c r="AT39" s="53" t="s">
        <v>13</v>
      </c>
      <c r="AU39" s="53" t="s">
        <v>13</v>
      </c>
      <c r="AV39" s="53" t="s">
        <v>13</v>
      </c>
      <c r="AW39" s="53" t="s">
        <v>12</v>
      </c>
      <c r="AX39" s="53" t="s">
        <v>17</v>
      </c>
      <c r="AY39" s="53" t="s">
        <v>17</v>
      </c>
      <c r="AZ39" s="53" t="s">
        <v>18</v>
      </c>
      <c r="BA39" s="53" t="s">
        <v>18</v>
      </c>
      <c r="BB39" s="53" t="s">
        <v>165</v>
      </c>
      <c r="BC39" s="53" t="s">
        <v>165</v>
      </c>
      <c r="BD39" s="53" t="s">
        <v>164</v>
      </c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</row>
    <row r="40" spans="1:71" s="13" customFormat="1" ht="39.9" customHeight="1" x14ac:dyDescent="0.3">
      <c r="A40" s="60" t="s">
        <v>188</v>
      </c>
      <c r="C40" s="11" t="e" cm="1">
        <f t="array" ref="C40">+_xlfn.XLOOKUP($A40,tab_projetos[nome_projeto],tab_projetos[[ganho_projetado]:[complexidade]])</f>
        <v>#N/A</v>
      </c>
      <c r="D40" s="12"/>
      <c r="E40" s="12"/>
      <c r="F40" s="12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 t="s">
        <v>14</v>
      </c>
      <c r="AW40" s="46" t="s">
        <v>14</v>
      </c>
      <c r="AX40" s="46" t="s">
        <v>13</v>
      </c>
      <c r="AY40" s="46" t="s">
        <v>13</v>
      </c>
      <c r="AZ40" s="46" t="s">
        <v>13</v>
      </c>
      <c r="BA40" s="46" t="s">
        <v>13</v>
      </c>
      <c r="BB40" s="46" t="s">
        <v>13</v>
      </c>
      <c r="BC40" s="46" t="s">
        <v>13</v>
      </c>
      <c r="BD40" s="46" t="s">
        <v>13</v>
      </c>
      <c r="BE40" s="46" t="s">
        <v>13</v>
      </c>
      <c r="BF40" s="46" t="s">
        <v>12</v>
      </c>
      <c r="BG40" s="46" t="s">
        <v>17</v>
      </c>
      <c r="BH40" s="46" t="s">
        <v>17</v>
      </c>
      <c r="BI40" s="46" t="s">
        <v>18</v>
      </c>
      <c r="BJ40" s="46" t="s">
        <v>18</v>
      </c>
      <c r="BK40" s="46" t="s">
        <v>165</v>
      </c>
      <c r="BL40" s="46" t="s">
        <v>165</v>
      </c>
      <c r="BM40" s="46" t="s">
        <v>164</v>
      </c>
      <c r="BN40" s="46"/>
      <c r="BO40" s="46"/>
      <c r="BP40" s="46"/>
      <c r="BQ40" s="46"/>
      <c r="BR40" s="46"/>
      <c r="BS40" s="46"/>
    </row>
    <row r="41" spans="1:71" ht="30" customHeight="1" x14ac:dyDescent="0.4">
      <c r="A41" s="17" t="s">
        <v>57</v>
      </c>
      <c r="B41" s="18" t="e" vm="3">
        <f>+_xlfn.XLOOKUP($A41,tab_recursos[nome_recurso],tab_recursos[foto_recurso],"")</f>
        <v>#VALUE!</v>
      </c>
      <c r="C41" s="19"/>
      <c r="D41" s="20"/>
      <c r="E41" s="20"/>
      <c r="F41" s="20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2"/>
      <c r="W41" s="52"/>
      <c r="X41" s="52"/>
      <c r="Y41" s="52"/>
      <c r="Z41" s="52"/>
      <c r="AA41" s="52"/>
      <c r="AB41" s="52"/>
      <c r="AC41" s="52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</row>
    <row r="42" spans="1:71" s="13" customFormat="1" ht="39.9" customHeight="1" x14ac:dyDescent="0.3">
      <c r="A42" s="26" t="s">
        <v>102</v>
      </c>
      <c r="B42" s="26"/>
      <c r="C42" s="21" t="e" cm="1">
        <f t="array" ref="C42">+_xlfn.XLOOKUP($A42,tab_projetos[nome_projeto],tab_projetos[[ganho_projetado]:[complexidade]])</f>
        <v>#N/A</v>
      </c>
      <c r="D42" s="22"/>
      <c r="E42" s="22"/>
      <c r="F42" s="22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 t="s">
        <v>14</v>
      </c>
      <c r="T42" s="54" t="s">
        <v>13</v>
      </c>
      <c r="U42" s="54" t="s">
        <v>13</v>
      </c>
      <c r="V42" s="54" t="s">
        <v>13</v>
      </c>
      <c r="W42" s="54" t="s">
        <v>12</v>
      </c>
      <c r="X42" s="54" t="s">
        <v>17</v>
      </c>
      <c r="Y42" s="54" t="s">
        <v>17</v>
      </c>
      <c r="Z42" s="54" t="s">
        <v>18</v>
      </c>
      <c r="AA42" s="54" t="s">
        <v>18</v>
      </c>
      <c r="AB42" s="54" t="s">
        <v>165</v>
      </c>
      <c r="AC42" s="54" t="s">
        <v>165</v>
      </c>
      <c r="AD42" s="54" t="s">
        <v>164</v>
      </c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</row>
    <row r="43" spans="1:71" s="13" customFormat="1" ht="39.9" customHeight="1" x14ac:dyDescent="0.3">
      <c r="A43" s="25" t="s">
        <v>105</v>
      </c>
      <c r="B43" s="25"/>
      <c r="C43" s="23"/>
      <c r="D43" s="24"/>
      <c r="E43" s="24"/>
      <c r="F43" s="24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 t="s">
        <v>14</v>
      </c>
      <c r="AH43" s="53" t="s">
        <v>13</v>
      </c>
      <c r="AI43" s="53" t="s">
        <v>13</v>
      </c>
      <c r="AJ43" s="53" t="s">
        <v>13</v>
      </c>
      <c r="AK43" s="53" t="s">
        <v>13</v>
      </c>
      <c r="AL43" s="53" t="s">
        <v>13</v>
      </c>
      <c r="AM43" s="53" t="s">
        <v>13</v>
      </c>
      <c r="AN43" s="53" t="s">
        <v>13</v>
      </c>
      <c r="AO43" s="53" t="s">
        <v>13</v>
      </c>
      <c r="AP43" s="53" t="s">
        <v>13</v>
      </c>
      <c r="AQ43" s="53" t="s">
        <v>13</v>
      </c>
      <c r="AR43" s="53" t="s">
        <v>13</v>
      </c>
      <c r="AS43" s="53" t="s">
        <v>13</v>
      </c>
      <c r="AT43" s="53" t="s">
        <v>13</v>
      </c>
      <c r="AU43" s="53" t="s">
        <v>13</v>
      </c>
      <c r="AV43" s="53" t="s">
        <v>13</v>
      </c>
      <c r="AW43" s="53" t="s">
        <v>13</v>
      </c>
      <c r="AX43" s="53" t="s">
        <v>12</v>
      </c>
      <c r="AY43" s="53" t="s">
        <v>17</v>
      </c>
      <c r="AZ43" s="53" t="s">
        <v>17</v>
      </c>
      <c r="BA43" s="53" t="s">
        <v>17</v>
      </c>
      <c r="BB43" s="53" t="s">
        <v>165</v>
      </c>
      <c r="BC43" s="53" t="s">
        <v>165</v>
      </c>
      <c r="BD43" s="53" t="s">
        <v>165</v>
      </c>
      <c r="BE43" s="53" t="s">
        <v>165</v>
      </c>
      <c r="BF43" s="53" t="s">
        <v>164</v>
      </c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</row>
  </sheetData>
  <conditionalFormatting sqref="G6:BS1010">
    <cfRule type="cellIs" dxfId="35" priority="1" operator="equal">
      <formula>"IN"</formula>
    </cfRule>
    <cfRule type="cellIs" dxfId="34" priority="2" operator="equal">
      <formula>"ES"</formula>
    </cfRule>
    <cfRule type="cellIs" dxfId="33" priority="3" operator="equal">
      <formula>"PL"</formula>
    </cfRule>
    <cfRule type="cellIs" dxfId="32" priority="4" operator="equal">
      <formula>"DE"</formula>
    </cfRule>
    <cfRule type="cellIs" dxfId="31" priority="5" operator="equal">
      <formula>"QA"</formula>
    </cfRule>
    <cfRule type="cellIs" dxfId="30" priority="6" operator="equal">
      <formula>"HO"</formula>
    </cfRule>
    <cfRule type="cellIs" dxfId="29" priority="7" operator="equal">
      <formula>"IM"</formula>
    </cfRule>
    <cfRule type="cellIs" dxfId="28" priority="8" operator="equal">
      <formula>"OA"</formula>
    </cfRule>
    <cfRule type="cellIs" dxfId="27" priority="9" operator="equal">
      <formula>"EN"</formula>
    </cfRule>
  </conditionalFormatting>
  <pageMargins left="0.25" right="0.25" top="0.75" bottom="0.75" header="0.3" footer="0.3"/>
  <pageSetup paperSize="8" scale="42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BDD28-B53B-4C19-89FF-1681FD866014}">
          <x14:formula1>
            <xm:f>tab_etapas!$C$2:$C$1000</xm:f>
          </x14:formula1>
          <xm:sqref>G28:BS32 G42:BS44 G20:BS26 G34:BS40</xm:sqref>
        </x14:dataValidation>
        <x14:dataValidation type="list" allowBlank="1" showInputMessage="1" showErrorMessage="1" xr:uid="{7F30DA83-BF7E-4CA2-A039-0347577548AC}">
          <x14:formula1>
            <xm:f>tab_recursos!$B$2:$B$1000</xm:f>
          </x14:formula1>
          <xm:sqref>A19:B19 A27:B27 A33:B33 A41:B41</xm:sqref>
        </x14:dataValidation>
        <x14:dataValidation type="list" allowBlank="1" showInputMessage="1" showErrorMessage="1" xr:uid="{42A23A22-3724-436F-AD6C-349A6B0ED697}">
          <x14:formula1>
            <xm:f>tab_projetos!$C$2:$C$992</xm:f>
          </x14:formula1>
          <xm:sqref>A28:A32 A34:A40 A20:B26 A42:A1015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B782-077A-4E68-9305-441DE01CD700}">
  <sheetPr codeName="Planilha16">
    <outlinePr summaryBelow="0" summaryRight="0"/>
    <pageSetUpPr fitToPage="1"/>
  </sheetPr>
  <dimension ref="A2:CA43"/>
  <sheetViews>
    <sheetView showGridLines="0" topLeftCell="A6" zoomScale="55" zoomScaleNormal="55" workbookViewId="0">
      <selection activeCell="N20" sqref="N20:BS26"/>
    </sheetView>
  </sheetViews>
  <sheetFormatPr defaultColWidth="9.109375" defaultRowHeight="18" outlineLevelCol="1" x14ac:dyDescent="0.4"/>
  <cols>
    <col min="1" max="1" width="60.6640625" style="10" customWidth="1"/>
    <col min="2" max="2" width="6.6640625" style="10" customWidth="1" collapsed="1"/>
    <col min="3" max="3" width="25.6640625" style="11" hidden="1" customWidth="1" outlineLevel="1"/>
    <col min="4" max="4" width="25.6640625" style="12" hidden="1" customWidth="1" outlineLevel="1"/>
    <col min="5" max="5" width="40.6640625" style="12" hidden="1" customWidth="1" outlineLevel="1"/>
    <col min="6" max="6" width="25.6640625" style="12" hidden="1" customWidth="1" outlineLevel="1"/>
    <col min="7" max="71" width="6.33203125" style="12" customWidth="1"/>
    <col min="72" max="16384" width="9.109375" style="10"/>
  </cols>
  <sheetData>
    <row r="2" spans="1:71" s="33" customFormat="1" ht="21.6" x14ac:dyDescent="0.5">
      <c r="C2" s="34"/>
      <c r="D2" s="35"/>
      <c r="E2" s="35"/>
      <c r="F2" s="35"/>
      <c r="G2" s="36" t="s">
        <v>162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</row>
    <row r="3" spans="1:71" x14ac:dyDescent="0.4">
      <c r="G3" s="39" t="s">
        <v>142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  <c r="T3" s="39" t="s">
        <v>143</v>
      </c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1"/>
      <c r="AG3" s="39" t="s">
        <v>144</v>
      </c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1"/>
      <c r="AT3" s="39" t="s">
        <v>145</v>
      </c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1"/>
      <c r="BG3" s="39" t="s">
        <v>146</v>
      </c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1"/>
    </row>
    <row r="4" spans="1:71" x14ac:dyDescent="0.4">
      <c r="G4" s="39" t="s">
        <v>137</v>
      </c>
      <c r="H4" s="40"/>
      <c r="I4" s="40"/>
      <c r="J4" s="40"/>
      <c r="K4" s="41"/>
      <c r="L4" s="39" t="s">
        <v>138</v>
      </c>
      <c r="M4" s="40"/>
      <c r="N4" s="40"/>
      <c r="O4" s="41"/>
      <c r="P4" s="39" t="s">
        <v>139</v>
      </c>
      <c r="Q4" s="40"/>
      <c r="R4" s="40"/>
      <c r="S4" s="41"/>
      <c r="T4" s="39" t="s">
        <v>128</v>
      </c>
      <c r="U4" s="40"/>
      <c r="V4" s="40"/>
      <c r="W4" s="40"/>
      <c r="X4" s="41"/>
      <c r="Y4" s="39" t="s">
        <v>129</v>
      </c>
      <c r="Z4" s="40"/>
      <c r="AA4" s="40"/>
      <c r="AB4" s="41"/>
      <c r="AC4" s="39" t="s">
        <v>130</v>
      </c>
      <c r="AD4" s="40"/>
      <c r="AE4" s="40"/>
      <c r="AF4" s="41"/>
      <c r="AG4" s="39" t="s">
        <v>131</v>
      </c>
      <c r="AH4" s="40"/>
      <c r="AI4" s="40"/>
      <c r="AJ4" s="40"/>
      <c r="AK4" s="41"/>
      <c r="AL4" s="39" t="s">
        <v>132</v>
      </c>
      <c r="AM4" s="40"/>
      <c r="AN4" s="40"/>
      <c r="AO4" s="41"/>
      <c r="AP4" s="39" t="s">
        <v>133</v>
      </c>
      <c r="AQ4" s="40"/>
      <c r="AR4" s="40"/>
      <c r="AS4" s="41"/>
      <c r="AT4" s="39" t="s">
        <v>134</v>
      </c>
      <c r="AU4" s="40"/>
      <c r="AV4" s="40"/>
      <c r="AW4" s="40"/>
      <c r="AX4" s="41"/>
      <c r="AY4" s="39" t="s">
        <v>135</v>
      </c>
      <c r="AZ4" s="40"/>
      <c r="BA4" s="40"/>
      <c r="BB4" s="41"/>
      <c r="BC4" s="39" t="s">
        <v>136</v>
      </c>
      <c r="BD4" s="40"/>
      <c r="BE4" s="40"/>
      <c r="BF4" s="41"/>
      <c r="BG4" s="39" t="s">
        <v>137</v>
      </c>
      <c r="BH4" s="40"/>
      <c r="BI4" s="40"/>
      <c r="BJ4" s="40"/>
      <c r="BK4" s="41"/>
      <c r="BL4" s="39" t="s">
        <v>138</v>
      </c>
      <c r="BM4" s="40"/>
      <c r="BN4" s="40"/>
      <c r="BO4" s="41"/>
      <c r="BP4" s="39" t="s">
        <v>139</v>
      </c>
      <c r="BQ4" s="40"/>
      <c r="BR4" s="40"/>
      <c r="BS4" s="41"/>
    </row>
    <row r="5" spans="1:71" x14ac:dyDescent="0.4">
      <c r="A5" s="15" t="s">
        <v>119</v>
      </c>
      <c r="B5" s="15"/>
      <c r="C5" s="16" t="s">
        <v>158</v>
      </c>
      <c r="D5" s="14" t="s">
        <v>159</v>
      </c>
      <c r="E5" s="14" t="s">
        <v>160</v>
      </c>
      <c r="F5" s="14" t="s">
        <v>161</v>
      </c>
      <c r="G5" s="37">
        <v>40</v>
      </c>
      <c r="H5" s="12">
        <v>41</v>
      </c>
      <c r="I5" s="12">
        <v>42</v>
      </c>
      <c r="J5" s="12">
        <v>43</v>
      </c>
      <c r="K5" s="38">
        <v>44</v>
      </c>
      <c r="L5" s="37">
        <v>45</v>
      </c>
      <c r="M5" s="12">
        <v>46</v>
      </c>
      <c r="N5" s="12">
        <v>47</v>
      </c>
      <c r="O5" s="38">
        <v>48</v>
      </c>
      <c r="P5" s="37">
        <v>49</v>
      </c>
      <c r="Q5" s="12">
        <v>50</v>
      </c>
      <c r="R5" s="12">
        <v>51</v>
      </c>
      <c r="S5" s="38">
        <v>52</v>
      </c>
      <c r="T5" s="37">
        <v>1</v>
      </c>
      <c r="U5" s="12">
        <v>2</v>
      </c>
      <c r="V5" s="12">
        <v>3</v>
      </c>
      <c r="W5" s="12">
        <v>4</v>
      </c>
      <c r="X5" s="38">
        <v>5</v>
      </c>
      <c r="Y5" s="37">
        <v>6</v>
      </c>
      <c r="Z5" s="12">
        <v>7</v>
      </c>
      <c r="AA5" s="12">
        <v>8</v>
      </c>
      <c r="AB5" s="38">
        <v>9</v>
      </c>
      <c r="AC5" s="37">
        <v>10</v>
      </c>
      <c r="AD5" s="12">
        <v>11</v>
      </c>
      <c r="AE5" s="12">
        <v>12</v>
      </c>
      <c r="AF5" s="38">
        <v>13</v>
      </c>
      <c r="AG5" s="37">
        <v>14</v>
      </c>
      <c r="AH5" s="12">
        <v>15</v>
      </c>
      <c r="AI5" s="12">
        <v>16</v>
      </c>
      <c r="AJ5" s="12">
        <v>17</v>
      </c>
      <c r="AK5" s="38">
        <v>18</v>
      </c>
      <c r="AL5" s="37">
        <v>19</v>
      </c>
      <c r="AM5" s="12">
        <v>20</v>
      </c>
      <c r="AN5" s="12">
        <v>21</v>
      </c>
      <c r="AO5" s="38">
        <v>22</v>
      </c>
      <c r="AP5" s="37">
        <v>23</v>
      </c>
      <c r="AQ5" s="12">
        <v>24</v>
      </c>
      <c r="AR5" s="12">
        <v>25</v>
      </c>
      <c r="AS5" s="38">
        <v>26</v>
      </c>
      <c r="AT5" s="37">
        <v>27</v>
      </c>
      <c r="AU5" s="12">
        <v>28</v>
      </c>
      <c r="AV5" s="12">
        <v>29</v>
      </c>
      <c r="AW5" s="12">
        <v>30</v>
      </c>
      <c r="AX5" s="38">
        <v>31</v>
      </c>
      <c r="AY5" s="37">
        <v>32</v>
      </c>
      <c r="AZ5" s="12">
        <v>33</v>
      </c>
      <c r="BA5" s="12">
        <v>34</v>
      </c>
      <c r="BB5" s="38">
        <v>35</v>
      </c>
      <c r="BC5" s="37">
        <v>36</v>
      </c>
      <c r="BD5" s="12">
        <v>37</v>
      </c>
      <c r="BE5" s="12">
        <v>38</v>
      </c>
      <c r="BF5" s="38">
        <v>39</v>
      </c>
      <c r="BG5" s="37">
        <v>40</v>
      </c>
      <c r="BH5" s="12">
        <v>41</v>
      </c>
      <c r="BI5" s="12">
        <v>42</v>
      </c>
      <c r="BJ5" s="12">
        <v>43</v>
      </c>
      <c r="BK5" s="38">
        <v>44</v>
      </c>
      <c r="BL5" s="37">
        <v>45</v>
      </c>
      <c r="BM5" s="12">
        <v>46</v>
      </c>
      <c r="BN5" s="12">
        <v>47</v>
      </c>
      <c r="BO5" s="38">
        <v>48</v>
      </c>
      <c r="BP5" s="37">
        <v>49</v>
      </c>
      <c r="BQ5" s="12">
        <v>50</v>
      </c>
      <c r="BR5" s="12">
        <v>51</v>
      </c>
      <c r="BS5" s="38">
        <v>52</v>
      </c>
    </row>
    <row r="6" spans="1:71" s="13" customFormat="1" ht="39.9" customHeight="1" x14ac:dyDescent="0.3">
      <c r="A6" s="56" t="str" cm="1">
        <f t="array" ref="A6:A13">_xlfn._xlws.FILTER(_xlfn.CHOOSECOLS((_xlfn._xlws.SORT(tab_projetos[[nome_projeto]:[complexidade]],3,1)),1),(tab_projetos[nome_squad]="Echo BR"))</f>
        <v>SISTEMATIZACAO DO FRETE AVULSO (FRETE 2)</v>
      </c>
      <c r="B6" s="26"/>
      <c r="C6" s="21" cm="1">
        <f t="array" ref="C6:F13">_xlfn._xlws.FILTER(_xlfn.CHOOSECOLS((_xlfn._xlws.SORT(tab_projetos[[nome_projeto]:[complexidade]],3,1)),4,5,6,7),(tab_projetos[nome_squad]="Echo BR"))</f>
        <v>0</v>
      </c>
      <c r="D6" s="22" t="str">
        <v>Melhoria de Processo</v>
      </c>
      <c r="E6" s="22" t="str">
        <v>Evolução, Melhoria ou Adequação</v>
      </c>
      <c r="F6" s="22" t="str">
        <v>Alta</v>
      </c>
      <c r="G6" s="42" t="str" cm="1">
        <f t="array" ref="G6">+IFERROR(_xlfn.CONCAT(_xlfn.UNIQUE(_xlfn._xlws.FILTER(G$19:G$1010,(($A$19:$A$1010=$A6)*(G$19:G$1010&lt;&gt;0)*(G$19:G$1010&lt;&gt;"F"))))),"")</f>
        <v/>
      </c>
      <c r="H6" s="43" t="str" cm="1">
        <f t="array" ref="H6">+IFERROR(_xlfn.CONCAT(_xlfn.UNIQUE(_xlfn._xlws.FILTER(H$19:H$1010,(($A$19:$A$1010=$A6)*(H$19:H$1010&lt;&gt;0)*(H$19:H$1010&lt;&gt;"F"))))),"")</f>
        <v/>
      </c>
      <c r="I6" s="43" t="str" cm="1">
        <f t="array" ref="I6">+IFERROR(_xlfn.CONCAT(_xlfn.UNIQUE(_xlfn._xlws.FILTER(I$19:I$1010,(($A$19:$A$1010=$A6)*(I$19:I$1010&lt;&gt;0)*(I$19:I$1010&lt;&gt;"F"))))),"")</f>
        <v/>
      </c>
      <c r="J6" s="43" t="str" cm="1">
        <f t="array" ref="J6">+IFERROR(_xlfn.CONCAT(_xlfn.UNIQUE(_xlfn._xlws.FILTER(J$19:J$1010,(($A$19:$A$1010=$A6)*(J$19:J$1010&lt;&gt;0)*(J$19:J$1010&lt;&gt;"F"))))),"")</f>
        <v/>
      </c>
      <c r="K6" s="44" t="str" cm="1">
        <f t="array" ref="K6">+IFERROR(_xlfn.CONCAT(_xlfn.UNIQUE(_xlfn._xlws.FILTER(K$19:K$1010,(($A$19:$A$1010=$A6)*(K$19:K$1010&lt;&gt;0)*(K$19:K$1010&lt;&gt;"F"))))),"")</f>
        <v/>
      </c>
      <c r="L6" s="42" t="str" cm="1">
        <f t="array" ref="L6">+IFERROR(_xlfn.CONCAT(_xlfn.UNIQUE(_xlfn._xlws.FILTER(L$19:L$1010,(($A$19:$A$1010=$A6)*(L$19:L$1010&lt;&gt;0)*(L$19:L$1010&lt;&gt;"F"))))),"")</f>
        <v/>
      </c>
      <c r="M6" s="43" t="str" cm="1">
        <f t="array" ref="M6">+IFERROR(_xlfn.CONCAT(_xlfn.UNIQUE(_xlfn._xlws.FILTER(M$19:M$1010,(($A$19:$A$1010=$A6)*(M$19:M$1010&lt;&gt;0)*(M$19:M$1010&lt;&gt;"F"))))),"")</f>
        <v/>
      </c>
      <c r="N6" s="43" t="str" cm="1">
        <f t="array" ref="N6">+IFERROR(_xlfn.CONCAT(_xlfn.UNIQUE(_xlfn._xlws.FILTER(N$19:N$1010,(($A$19:$A$1010=$A6)*(N$19:N$1010&lt;&gt;0)*(N$19:N$1010&lt;&gt;"F"))))),"")</f>
        <v/>
      </c>
      <c r="O6" s="44" t="str" cm="1">
        <f t="array" ref="O6">+IFERROR(_xlfn.CONCAT(_xlfn.UNIQUE(_xlfn._xlws.FILTER(O$19:O$1010,(($A$19:$A$1010=$A6)*(O$19:O$1010&lt;&gt;0)*(O$19:O$1010&lt;&gt;"F"))))),"")</f>
        <v/>
      </c>
      <c r="P6" s="42" t="str" cm="1">
        <f t="array" ref="P6">+IFERROR(_xlfn.CONCAT(_xlfn.UNIQUE(_xlfn._xlws.FILTER(P$19:P$1010,(($A$19:$A$1010=$A6)*(P$19:P$1010&lt;&gt;0)*(P$19:P$1010&lt;&gt;"F"))))),"")</f>
        <v/>
      </c>
      <c r="Q6" s="43" t="str" cm="1">
        <f t="array" ref="Q6">+IFERROR(_xlfn.CONCAT(_xlfn.UNIQUE(_xlfn._xlws.FILTER(Q$19:Q$1010,(($A$19:$A$1010=$A6)*(Q$19:Q$1010&lt;&gt;0)*(Q$19:Q$1010&lt;&gt;"F"))))),"")</f>
        <v/>
      </c>
      <c r="R6" s="43" t="str" cm="1">
        <f t="array" ref="R6">+IFERROR(_xlfn.CONCAT(_xlfn.UNIQUE(_xlfn._xlws.FILTER(R$19:R$1010,(($A$19:$A$1010=$A6)*(R$19:R$1010&lt;&gt;0)*(R$19:R$1010&lt;&gt;"F"))))),"")</f>
        <v/>
      </c>
      <c r="S6" s="44" t="str" cm="1">
        <f t="array" ref="S6">+IFERROR(_xlfn.CONCAT(_xlfn.UNIQUE(_xlfn._xlws.FILTER(S$19:S$1010,(($A$19:$A$1010=$A6)*(S$19:S$1010&lt;&gt;0)*(S$19:S$1010&lt;&gt;"F"))))),"")</f>
        <v/>
      </c>
      <c r="T6" s="42" t="str" cm="1">
        <f t="array" ref="T6">+IFERROR(_xlfn.CONCAT(_xlfn.UNIQUE(_xlfn._xlws.FILTER(T$19:T$1010,(($A$19:$A$1010=$A6)*(T$19:T$1010&lt;&gt;0)*(T$19:T$1010&lt;&gt;"F"))))),"")</f>
        <v/>
      </c>
      <c r="U6" s="43" t="str" cm="1">
        <f t="array" ref="U6">+IFERROR(_xlfn.CONCAT(_xlfn.UNIQUE(_xlfn._xlws.FILTER(U$19:U$1010,(($A$19:$A$1010=$A6)*(U$19:U$1010&lt;&gt;0)*(U$19:U$1010&lt;&gt;"F"))))),"")</f>
        <v/>
      </c>
      <c r="V6" s="43" t="str" cm="1">
        <f t="array" ref="V6">+IFERROR(_xlfn.CONCAT(_xlfn.UNIQUE(_xlfn._xlws.FILTER(V$19:V$1010,(($A$19:$A$1010=$A6)*(V$19:V$1010&lt;&gt;0)*(V$19:V$1010&lt;&gt;"F"))))),"")</f>
        <v/>
      </c>
      <c r="W6" s="43" t="str" cm="1">
        <f t="array" ref="W6">+IFERROR(_xlfn.CONCAT(_xlfn.UNIQUE(_xlfn._xlws.FILTER(W$19:W$1010,(($A$19:$A$1010=$A6)*(W$19:W$1010&lt;&gt;0)*(W$19:W$1010&lt;&gt;"F"))))),"")</f>
        <v/>
      </c>
      <c r="X6" s="44" t="str" cm="1">
        <f t="array" ref="X6">+IFERROR(_xlfn.CONCAT(_xlfn.UNIQUE(_xlfn._xlws.FILTER(X$19:X$1010,(($A$19:$A$1010=$A6)*(X$19:X$1010&lt;&gt;0)*(X$19:X$1010&lt;&gt;"F"))))),"")</f>
        <v/>
      </c>
      <c r="Y6" s="42" t="str" cm="1">
        <f t="array" ref="Y6">+IFERROR(_xlfn.CONCAT(_xlfn.UNIQUE(_xlfn._xlws.FILTER(Y$19:Y$1010,(($A$19:$A$1010=$A6)*(Y$19:Y$1010&lt;&gt;0)*(Y$19:Y$1010&lt;&gt;"F"))))),"")</f>
        <v/>
      </c>
      <c r="Z6" s="43" t="str" cm="1">
        <f t="array" ref="Z6">+IFERROR(_xlfn.CONCAT(_xlfn.UNIQUE(_xlfn._xlws.FILTER(Z$19:Z$1010,(($A$19:$A$1010=$A6)*(Z$19:Z$1010&lt;&gt;0)*(Z$19:Z$1010&lt;&gt;"F"))))),"")</f>
        <v/>
      </c>
      <c r="AA6" s="43" t="str" cm="1">
        <f t="array" ref="AA6">+IFERROR(_xlfn.CONCAT(_xlfn.UNIQUE(_xlfn._xlws.FILTER(AA$19:AA$1010,(($A$19:$A$1010=$A6)*(AA$19:AA$1010&lt;&gt;0)*(AA$19:AA$1010&lt;&gt;"F"))))),"")</f>
        <v/>
      </c>
      <c r="AB6" s="44" t="str" cm="1">
        <f t="array" ref="AB6">+IFERROR(_xlfn.CONCAT(_xlfn.UNIQUE(_xlfn._xlws.FILTER(AB$19:AB$1010,(($A$19:$A$1010=$A6)*(AB$19:AB$1010&lt;&gt;0)*(AB$19:AB$1010&lt;&gt;"F"))))),"")</f>
        <v/>
      </c>
      <c r="AC6" s="42" t="str" cm="1">
        <f t="array" ref="AC6">+IFERROR(_xlfn.CONCAT(_xlfn.UNIQUE(_xlfn._xlws.FILTER(AC$19:AC$1010,(($A$19:$A$1010=$A6)*(AC$19:AC$1010&lt;&gt;0)*(AC$19:AC$1010&lt;&gt;"F"))))),"")</f>
        <v/>
      </c>
      <c r="AD6" s="43" t="str" cm="1">
        <f t="array" ref="AD6">+IFERROR(_xlfn.CONCAT(_xlfn.UNIQUE(_xlfn._xlws.FILTER(AD$19:AD$1010,(($A$19:$A$1010=$A6)*(AD$19:AD$1010&lt;&gt;0)*(AD$19:AD$1010&lt;&gt;"F"))))),"")</f>
        <v/>
      </c>
      <c r="AE6" s="43" t="str" cm="1">
        <f t="array" ref="AE6">+IFERROR(_xlfn.CONCAT(_xlfn.UNIQUE(_xlfn._xlws.FILTER(AE$19:AE$1010,(($A$19:$A$1010=$A6)*(AE$19:AE$1010&lt;&gt;0)*(AE$19:AE$1010&lt;&gt;"F"))))),"")</f>
        <v/>
      </c>
      <c r="AF6" s="44" t="str" cm="1">
        <f t="array" ref="AF6">+IFERROR(_xlfn.CONCAT(_xlfn.UNIQUE(_xlfn._xlws.FILTER(AF$19:AF$1010,(($A$19:$A$1010=$A6)*(AF$19:AF$1010&lt;&gt;0)*(AF$19:AF$1010&lt;&gt;"F"))))),"")</f>
        <v/>
      </c>
      <c r="AG6" s="42" t="str" cm="1">
        <f t="array" ref="AG6">+IFERROR(_xlfn.CONCAT(_xlfn.UNIQUE(_xlfn._xlws.FILTER(AG$19:AG$1010,(($A$19:$A$1010=$A6)*(AG$19:AG$1010&lt;&gt;0)*(AG$19:AG$1010&lt;&gt;"F"))))),"")</f>
        <v/>
      </c>
      <c r="AH6" s="43" t="str" cm="1">
        <f t="array" ref="AH6">+IFERROR(_xlfn.CONCAT(_xlfn.UNIQUE(_xlfn._xlws.FILTER(AH$19:AH$1010,(($A$19:$A$1010=$A6)*(AH$19:AH$1010&lt;&gt;0)*(AH$19:AH$1010&lt;&gt;"F"))))),"")</f>
        <v/>
      </c>
      <c r="AI6" s="43" t="str" cm="1">
        <f t="array" ref="AI6">+IFERROR(_xlfn.CONCAT(_xlfn.UNIQUE(_xlfn._xlws.FILTER(AI$19:AI$1010,(($A$19:$A$1010=$A6)*(AI$19:AI$1010&lt;&gt;0)*(AI$19:AI$1010&lt;&gt;"F"))))),"")</f>
        <v/>
      </c>
      <c r="AJ6" s="43" t="str" cm="1">
        <f t="array" ref="AJ6">+IFERROR(_xlfn.CONCAT(_xlfn.UNIQUE(_xlfn._xlws.FILTER(AJ$19:AJ$1010,(($A$19:$A$1010=$A6)*(AJ$19:AJ$1010&lt;&gt;0)*(AJ$19:AJ$1010&lt;&gt;"F"))))),"")</f>
        <v/>
      </c>
      <c r="AK6" s="44" t="str" cm="1">
        <f t="array" ref="AK6">+IFERROR(_xlfn.CONCAT(_xlfn.UNIQUE(_xlfn._xlws.FILTER(AK$19:AK$1010,(($A$19:$A$1010=$A6)*(AK$19:AK$1010&lt;&gt;0)*(AK$19:AK$1010&lt;&gt;"F"))))),"")</f>
        <v/>
      </c>
      <c r="AL6" s="42" t="str" cm="1">
        <f t="array" ref="AL6">+IFERROR(_xlfn.CONCAT(_xlfn.UNIQUE(_xlfn._xlws.FILTER(AL$19:AL$1010,(($A$19:$A$1010=$A6)*(AL$19:AL$1010&lt;&gt;0)*(AL$19:AL$1010&lt;&gt;"F"))))),"")</f>
        <v/>
      </c>
      <c r="AM6" s="43" t="str" cm="1">
        <f t="array" ref="AM6">+IFERROR(_xlfn.CONCAT(_xlfn.UNIQUE(_xlfn._xlws.FILTER(AM$19:AM$1010,(($A$19:$A$1010=$A6)*(AM$19:AM$1010&lt;&gt;0)*(AM$19:AM$1010&lt;&gt;"F"))))),"")</f>
        <v/>
      </c>
      <c r="AN6" s="43" t="str" cm="1">
        <f t="array" ref="AN6">+IFERROR(_xlfn.CONCAT(_xlfn.UNIQUE(_xlfn._xlws.FILTER(AN$19:AN$1010,(($A$19:$A$1010=$A6)*(AN$19:AN$1010&lt;&gt;0)*(AN$19:AN$1010&lt;&gt;"F"))))),"")</f>
        <v/>
      </c>
      <c r="AO6" s="44" t="str" cm="1">
        <f t="array" ref="AO6">+IFERROR(_xlfn.CONCAT(_xlfn.UNIQUE(_xlfn._xlws.FILTER(AO$19:AO$1010,(($A$19:$A$1010=$A6)*(AO$19:AO$1010&lt;&gt;0)*(AO$19:AO$1010&lt;&gt;"F"))))),"")</f>
        <v/>
      </c>
      <c r="AP6" s="42" t="str" cm="1">
        <f t="array" ref="AP6">+IFERROR(_xlfn.CONCAT(_xlfn.UNIQUE(_xlfn._xlws.FILTER(AP$19:AP$1010,(($A$19:$A$1010=$A6)*(AP$19:AP$1010&lt;&gt;0)*(AP$19:AP$1010&lt;&gt;"F"))))),"")</f>
        <v/>
      </c>
      <c r="AQ6" s="43" t="str" cm="1">
        <f t="array" ref="AQ6">+IFERROR(_xlfn.CONCAT(_xlfn.UNIQUE(_xlfn._xlws.FILTER(AQ$19:AQ$1010,(($A$19:$A$1010=$A6)*(AQ$19:AQ$1010&lt;&gt;0)*(AQ$19:AQ$1010&lt;&gt;"F"))))),"")</f>
        <v/>
      </c>
      <c r="AR6" s="43" t="str" cm="1">
        <f t="array" ref="AR6">+IFERROR(_xlfn.CONCAT(_xlfn.UNIQUE(_xlfn._xlws.FILTER(AR$19:AR$1010,(($A$19:$A$1010=$A6)*(AR$19:AR$1010&lt;&gt;0)*(AR$19:AR$1010&lt;&gt;"F"))))),"")</f>
        <v/>
      </c>
      <c r="AS6" s="44" t="str" cm="1">
        <f t="array" ref="AS6">+IFERROR(_xlfn.CONCAT(_xlfn.UNIQUE(_xlfn._xlws.FILTER(AS$19:AS$1010,(($A$19:$A$1010=$A6)*(AS$19:AS$1010&lt;&gt;0)*(AS$19:AS$1010&lt;&gt;"F"))))),"")</f>
        <v/>
      </c>
      <c r="AT6" s="42" t="str" cm="1">
        <f t="array" ref="AT6">+IFERROR(_xlfn.CONCAT(_xlfn.UNIQUE(_xlfn._xlws.FILTER(AT$19:AT$1010,(($A$19:$A$1010=$A6)*(AT$19:AT$1010&lt;&gt;0)*(AT$19:AT$1010&lt;&gt;"F"))))),"")</f>
        <v/>
      </c>
      <c r="AU6" s="43" t="str" cm="1">
        <f t="array" ref="AU6">+IFERROR(_xlfn.CONCAT(_xlfn.UNIQUE(_xlfn._xlws.FILTER(AU$19:AU$1010,(($A$19:$A$1010=$A6)*(AU$19:AU$1010&lt;&gt;0)*(AU$19:AU$1010&lt;&gt;"F"))))),"")</f>
        <v/>
      </c>
      <c r="AV6" s="43" t="str" cm="1">
        <f t="array" ref="AV6">+IFERROR(_xlfn.CONCAT(_xlfn.UNIQUE(_xlfn._xlws.FILTER(AV$19:AV$1010,(($A$19:$A$1010=$A6)*(AV$19:AV$1010&lt;&gt;0)*(AV$19:AV$1010&lt;&gt;"F"))))),"")</f>
        <v/>
      </c>
      <c r="AW6" s="43" t="str" cm="1">
        <f t="array" ref="AW6">+IFERROR(_xlfn.CONCAT(_xlfn.UNIQUE(_xlfn._xlws.FILTER(AW$19:AW$1010,(($A$19:$A$1010=$A6)*(AW$19:AW$1010&lt;&gt;0)*(AW$19:AW$1010&lt;&gt;"F"))))),"")</f>
        <v/>
      </c>
      <c r="AX6" s="44" t="str" cm="1">
        <f t="array" ref="AX6">+IFERROR(_xlfn.CONCAT(_xlfn.UNIQUE(_xlfn._xlws.FILTER(AX$19:AX$1010,(($A$19:$A$1010=$A6)*(AX$19:AX$1010&lt;&gt;0)*(AX$19:AX$1010&lt;&gt;"F"))))),"")</f>
        <v/>
      </c>
      <c r="AY6" s="42" t="str" cm="1">
        <f t="array" ref="AY6">+IFERROR(_xlfn.CONCAT(_xlfn.UNIQUE(_xlfn._xlws.FILTER(AY$19:AY$1010,(($A$19:$A$1010=$A6)*(AY$19:AY$1010&lt;&gt;0)*(AY$19:AY$1010&lt;&gt;"F"))))),"")</f>
        <v/>
      </c>
      <c r="AZ6" s="43" t="str" cm="1">
        <f t="array" ref="AZ6">+IFERROR(_xlfn.CONCAT(_xlfn.UNIQUE(_xlfn._xlws.FILTER(AZ$19:AZ$1010,(($A$19:$A$1010=$A6)*(AZ$19:AZ$1010&lt;&gt;0)*(AZ$19:AZ$1010&lt;&gt;"F"))))),"")</f>
        <v/>
      </c>
      <c r="BA6" s="43" t="str" cm="1">
        <f t="array" ref="BA6">+IFERROR(_xlfn.CONCAT(_xlfn.UNIQUE(_xlfn._xlws.FILTER(BA$19:BA$1010,(($A$19:$A$1010=$A6)*(BA$19:BA$1010&lt;&gt;0)*(BA$19:BA$1010&lt;&gt;"F"))))),"")</f>
        <v/>
      </c>
      <c r="BB6" s="44" t="str" cm="1">
        <f t="array" ref="BB6">+IFERROR(_xlfn.CONCAT(_xlfn.UNIQUE(_xlfn._xlws.FILTER(BB$19:BB$1010,(($A$19:$A$1010=$A6)*(BB$19:BB$1010&lt;&gt;0)*(BB$19:BB$1010&lt;&gt;"F"))))),"")</f>
        <v/>
      </c>
      <c r="BC6" s="42" t="str" cm="1">
        <f t="array" ref="BC6">+IFERROR(_xlfn.CONCAT(_xlfn.UNIQUE(_xlfn._xlws.FILTER(BC$19:BC$1010,(($A$19:$A$1010=$A6)*(BC$19:BC$1010&lt;&gt;0)*(BC$19:BC$1010&lt;&gt;"F"))))),"")</f>
        <v/>
      </c>
      <c r="BD6" s="43" t="str" cm="1">
        <f t="array" ref="BD6">+IFERROR(_xlfn.CONCAT(_xlfn.UNIQUE(_xlfn._xlws.FILTER(BD$19:BD$1010,(($A$19:$A$1010=$A6)*(BD$19:BD$1010&lt;&gt;0)*(BD$19:BD$1010&lt;&gt;"F"))))),"")</f>
        <v/>
      </c>
      <c r="BE6" s="43" t="str" cm="1">
        <f t="array" ref="BE6">+IFERROR(_xlfn.CONCAT(_xlfn.UNIQUE(_xlfn._xlws.FILTER(BE$19:BE$1010,(($A$19:$A$1010=$A6)*(BE$19:BE$1010&lt;&gt;0)*(BE$19:BE$1010&lt;&gt;"F"))))),"")</f>
        <v/>
      </c>
      <c r="BF6" s="44" t="str" cm="1">
        <f t="array" ref="BF6">+IFERROR(_xlfn.CONCAT(_xlfn.UNIQUE(_xlfn._xlws.FILTER(BF$19:BF$1010,(($A$19:$A$1010=$A6)*(BF$19:BF$1010&lt;&gt;0)*(BF$19:BF$1010&lt;&gt;"F"))))),"")</f>
        <v/>
      </c>
      <c r="BG6" s="42" t="str" cm="1">
        <f t="array" ref="BG6">+IFERROR(_xlfn.CONCAT(_xlfn.UNIQUE(_xlfn._xlws.FILTER(BG$19:BG$1010,(($A$19:$A$1010=$A6)*(BG$19:BG$1010&lt;&gt;0)*(BG$19:BG$1010&lt;&gt;"F"))))),"")</f>
        <v/>
      </c>
      <c r="BH6" s="43" t="str" cm="1">
        <f t="array" ref="BH6">+IFERROR(_xlfn.CONCAT(_xlfn.UNIQUE(_xlfn._xlws.FILTER(BH$19:BH$1010,(($A$19:$A$1010=$A6)*(BH$19:BH$1010&lt;&gt;0)*(BH$19:BH$1010&lt;&gt;"F"))))),"")</f>
        <v/>
      </c>
      <c r="BI6" s="43" t="str" cm="1">
        <f t="array" ref="BI6">+IFERROR(_xlfn.CONCAT(_xlfn.UNIQUE(_xlfn._xlws.FILTER(BI$19:BI$1010,(($A$19:$A$1010=$A6)*(BI$19:BI$1010&lt;&gt;0)*(BI$19:BI$1010&lt;&gt;"F"))))),"")</f>
        <v/>
      </c>
      <c r="BJ6" s="43" t="str" cm="1">
        <f t="array" ref="BJ6">+IFERROR(_xlfn.CONCAT(_xlfn.UNIQUE(_xlfn._xlws.FILTER(BJ$19:BJ$1010,(($A$19:$A$1010=$A6)*(BJ$19:BJ$1010&lt;&gt;0)*(BJ$19:BJ$1010&lt;&gt;"F"))))),"")</f>
        <v/>
      </c>
      <c r="BK6" s="44" t="str" cm="1">
        <f t="array" ref="BK6">+IFERROR(_xlfn.CONCAT(_xlfn.UNIQUE(_xlfn._xlws.FILTER(BK$19:BK$1010,(($A$19:$A$1010=$A6)*(BK$19:BK$1010&lt;&gt;0)*(BK$19:BK$1010&lt;&gt;"F"))))),"")</f>
        <v/>
      </c>
      <c r="BL6" s="42" t="str" cm="1">
        <f t="array" ref="BL6">+IFERROR(_xlfn.CONCAT(_xlfn.UNIQUE(_xlfn._xlws.FILTER(BL$19:BL$1010,(($A$19:$A$1010=$A6)*(BL$19:BL$1010&lt;&gt;0)*(BL$19:BL$1010&lt;&gt;"F"))))),"")</f>
        <v/>
      </c>
      <c r="BM6" s="43" t="str" cm="1">
        <f t="array" ref="BM6">+IFERROR(_xlfn.CONCAT(_xlfn.UNIQUE(_xlfn._xlws.FILTER(BM$19:BM$1010,(($A$19:$A$1010=$A6)*(BM$19:BM$1010&lt;&gt;0)*(BM$19:BM$1010&lt;&gt;"F"))))),"")</f>
        <v/>
      </c>
      <c r="BN6" s="43" t="str" cm="1">
        <f t="array" ref="BN6">+IFERROR(_xlfn.CONCAT(_xlfn.UNIQUE(_xlfn._xlws.FILTER(BN$19:BN$1010,(($A$19:$A$1010=$A6)*(BN$19:BN$1010&lt;&gt;0)*(BN$19:BN$1010&lt;&gt;"F"))))),"")</f>
        <v/>
      </c>
      <c r="BO6" s="44" t="str" cm="1">
        <f t="array" ref="BO6">+IFERROR(_xlfn.CONCAT(_xlfn.UNIQUE(_xlfn._xlws.FILTER(BO$19:BO$1010,(($A$19:$A$1010=$A6)*(BO$19:BO$1010&lt;&gt;0)*(BO$19:BO$1010&lt;&gt;"F"))))),"")</f>
        <v/>
      </c>
      <c r="BP6" s="42" t="str" cm="1">
        <f t="array" ref="BP6">+IFERROR(_xlfn.CONCAT(_xlfn.UNIQUE(_xlfn._xlws.FILTER(BP$19:BP$1010,(($A$19:$A$1010=$A6)*(BP$19:BP$1010&lt;&gt;0)*(BP$19:BP$1010&lt;&gt;"F"))))),"")</f>
        <v/>
      </c>
      <c r="BQ6" s="43" t="str" cm="1">
        <f t="array" ref="BQ6">+IFERROR(_xlfn.CONCAT(_xlfn.UNIQUE(_xlfn._xlws.FILTER(BQ$19:BQ$1010,(($A$19:$A$1010=$A6)*(BQ$19:BQ$1010&lt;&gt;0)*(BQ$19:BQ$1010&lt;&gt;"F"))))),"")</f>
        <v/>
      </c>
      <c r="BR6" s="43" t="str" cm="1">
        <f t="array" ref="BR6">+IFERROR(_xlfn.CONCAT(_xlfn.UNIQUE(_xlfn._xlws.FILTER(BR$19:BR$1010,(($A$19:$A$1010=$A6)*(BR$19:BR$1010&lt;&gt;0)*(BR$19:BR$1010&lt;&gt;"F"))))),"")</f>
        <v/>
      </c>
      <c r="BS6" s="44" t="str" cm="1">
        <f t="array" ref="BS6">+IFERROR(_xlfn.CONCAT(_xlfn.UNIQUE(_xlfn._xlws.FILTER(BS$19:BS$1010,(($A$19:$A$1010=$A6)*(BS$19:BS$1010&lt;&gt;0)*(BS$19:BS$1010&lt;&gt;"F"))))),"")</f>
        <v/>
      </c>
    </row>
    <row r="7" spans="1:71" s="13" customFormat="1" ht="39.9" customHeight="1" x14ac:dyDescent="0.3">
      <c r="A7" s="57" t="str">
        <v>OCORRENCIAS POSTERGADAS</v>
      </c>
      <c r="B7" s="27"/>
      <c r="C7" s="28">
        <v>0</v>
      </c>
      <c r="D7" s="29" t="str">
        <v>Melhoria de Processo</v>
      </c>
      <c r="E7" s="29" t="str">
        <v>Evolução, Melhoria ou Adequação</v>
      </c>
      <c r="F7" s="29" t="str">
        <v>Alta</v>
      </c>
      <c r="G7" s="45" t="str" cm="1">
        <f t="array" ref="G7">+IFERROR(_xlfn.CONCAT(_xlfn.UNIQUE(_xlfn._xlws.FILTER(G$19:G$1010,(($A$19:$A$1010=$A7)*(G$19:G$1010&lt;&gt;0)*(G$19:G$1010&lt;&gt;"F"))))),"")</f>
        <v/>
      </c>
      <c r="H7" s="46" t="str" cm="1">
        <f t="array" ref="H7">+IFERROR(_xlfn.CONCAT(_xlfn.UNIQUE(_xlfn._xlws.FILTER(H$19:H$1010,(($A$19:$A$1010=$A7)*(H$19:H$1010&lt;&gt;0)*(H$19:H$1010&lt;&gt;"F"))))),"")</f>
        <v/>
      </c>
      <c r="I7" s="46" t="str" cm="1">
        <f t="array" ref="I7">+IFERROR(_xlfn.CONCAT(_xlfn.UNIQUE(_xlfn._xlws.FILTER(I$19:I$1010,(($A$19:$A$1010=$A7)*(I$19:I$1010&lt;&gt;0)*(I$19:I$1010&lt;&gt;"F"))))),"")</f>
        <v/>
      </c>
      <c r="J7" s="46" t="str" cm="1">
        <f t="array" ref="J7">+IFERROR(_xlfn.CONCAT(_xlfn.UNIQUE(_xlfn._xlws.FILTER(J$19:J$1010,(($A$19:$A$1010=$A7)*(J$19:J$1010&lt;&gt;0)*(J$19:J$1010&lt;&gt;"F"))))),"")</f>
        <v/>
      </c>
      <c r="K7" s="47" t="str" cm="1">
        <f t="array" ref="K7">+IFERROR(_xlfn.CONCAT(_xlfn.UNIQUE(_xlfn._xlws.FILTER(K$19:K$1010,(($A$19:$A$1010=$A7)*(K$19:K$1010&lt;&gt;0)*(K$19:K$1010&lt;&gt;"F"))))),"")</f>
        <v/>
      </c>
      <c r="L7" s="45" t="str" cm="1">
        <f t="array" ref="L7">+IFERROR(_xlfn.CONCAT(_xlfn.UNIQUE(_xlfn._xlws.FILTER(L$19:L$1010,(($A$19:$A$1010=$A7)*(L$19:L$1010&lt;&gt;0)*(L$19:L$1010&lt;&gt;"F"))))),"")</f>
        <v/>
      </c>
      <c r="M7" s="46" t="str" cm="1">
        <f t="array" ref="M7">+IFERROR(_xlfn.CONCAT(_xlfn.UNIQUE(_xlfn._xlws.FILTER(M$19:M$1010,(($A$19:$A$1010=$A7)*(M$19:M$1010&lt;&gt;0)*(M$19:M$1010&lt;&gt;"F"))))),"")</f>
        <v/>
      </c>
      <c r="N7" s="46" t="str" cm="1">
        <f t="array" ref="N7">+IFERROR(_xlfn.CONCAT(_xlfn.UNIQUE(_xlfn._xlws.FILTER(N$19:N$1010,(($A$19:$A$1010=$A7)*(N$19:N$1010&lt;&gt;0)*(N$19:N$1010&lt;&gt;"F"))))),"")</f>
        <v/>
      </c>
      <c r="O7" s="47" t="str" cm="1">
        <f t="array" ref="O7">+IFERROR(_xlfn.CONCAT(_xlfn.UNIQUE(_xlfn._xlws.FILTER(O$19:O$1010,(($A$19:$A$1010=$A7)*(O$19:O$1010&lt;&gt;0)*(O$19:O$1010&lt;&gt;"F"))))),"")</f>
        <v/>
      </c>
      <c r="P7" s="45" t="str" cm="1">
        <f t="array" ref="P7">+IFERROR(_xlfn.CONCAT(_xlfn.UNIQUE(_xlfn._xlws.FILTER(P$19:P$1010,(($A$19:$A$1010=$A7)*(P$19:P$1010&lt;&gt;0)*(P$19:P$1010&lt;&gt;"F"))))),"")</f>
        <v/>
      </c>
      <c r="Q7" s="46" t="str" cm="1">
        <f t="array" ref="Q7">+IFERROR(_xlfn.CONCAT(_xlfn.UNIQUE(_xlfn._xlws.FILTER(Q$19:Q$1010,(($A$19:$A$1010=$A7)*(Q$19:Q$1010&lt;&gt;0)*(Q$19:Q$1010&lt;&gt;"F"))))),"")</f>
        <v/>
      </c>
      <c r="R7" s="46" t="str" cm="1">
        <f t="array" ref="R7">+IFERROR(_xlfn.CONCAT(_xlfn.UNIQUE(_xlfn._xlws.FILTER(R$19:R$1010,(($A$19:$A$1010=$A7)*(R$19:R$1010&lt;&gt;0)*(R$19:R$1010&lt;&gt;"F"))))),"")</f>
        <v/>
      </c>
      <c r="S7" s="47" t="str" cm="1">
        <f t="array" ref="S7">+IFERROR(_xlfn.CONCAT(_xlfn.UNIQUE(_xlfn._xlws.FILTER(S$19:S$1010,(($A$19:$A$1010=$A7)*(S$19:S$1010&lt;&gt;0)*(S$19:S$1010&lt;&gt;"F"))))),"")</f>
        <v/>
      </c>
      <c r="T7" s="45" t="str" cm="1">
        <f t="array" ref="T7">+IFERROR(_xlfn.CONCAT(_xlfn.UNIQUE(_xlfn._xlws.FILTER(T$19:T$1010,(($A$19:$A$1010=$A7)*(T$19:T$1010&lt;&gt;0)*(T$19:T$1010&lt;&gt;"F"))))),"")</f>
        <v/>
      </c>
      <c r="U7" s="46" t="str" cm="1">
        <f t="array" ref="U7">+IFERROR(_xlfn.CONCAT(_xlfn.UNIQUE(_xlfn._xlws.FILTER(U$19:U$1010,(($A$19:$A$1010=$A7)*(U$19:U$1010&lt;&gt;0)*(U$19:U$1010&lt;&gt;"F"))))),"")</f>
        <v/>
      </c>
      <c r="V7" s="46" t="str" cm="1">
        <f t="array" ref="V7">+IFERROR(_xlfn.CONCAT(_xlfn.UNIQUE(_xlfn._xlws.FILTER(V$19:V$1010,(($A$19:$A$1010=$A7)*(V$19:V$1010&lt;&gt;0)*(V$19:V$1010&lt;&gt;"F"))))),"")</f>
        <v/>
      </c>
      <c r="W7" s="46" t="str" cm="1">
        <f t="array" ref="W7">+IFERROR(_xlfn.CONCAT(_xlfn.UNIQUE(_xlfn._xlws.FILTER(W$19:W$1010,(($A$19:$A$1010=$A7)*(W$19:W$1010&lt;&gt;0)*(W$19:W$1010&lt;&gt;"F"))))),"")</f>
        <v/>
      </c>
      <c r="X7" s="47" t="str" cm="1">
        <f t="array" ref="X7">+IFERROR(_xlfn.CONCAT(_xlfn.UNIQUE(_xlfn._xlws.FILTER(X$19:X$1010,(($A$19:$A$1010=$A7)*(X$19:X$1010&lt;&gt;0)*(X$19:X$1010&lt;&gt;"F"))))),"")</f>
        <v/>
      </c>
      <c r="Y7" s="45" t="str" cm="1">
        <f t="array" ref="Y7">+IFERROR(_xlfn.CONCAT(_xlfn.UNIQUE(_xlfn._xlws.FILTER(Y$19:Y$1010,(($A$19:$A$1010=$A7)*(Y$19:Y$1010&lt;&gt;0)*(Y$19:Y$1010&lt;&gt;"F"))))),"")</f>
        <v/>
      </c>
      <c r="Z7" s="46" t="str" cm="1">
        <f t="array" ref="Z7">+IFERROR(_xlfn.CONCAT(_xlfn.UNIQUE(_xlfn._xlws.FILTER(Z$19:Z$1010,(($A$19:$A$1010=$A7)*(Z$19:Z$1010&lt;&gt;0)*(Z$19:Z$1010&lt;&gt;"F"))))),"")</f>
        <v/>
      </c>
      <c r="AA7" s="46" t="str" cm="1">
        <f t="array" ref="AA7">+IFERROR(_xlfn.CONCAT(_xlfn.UNIQUE(_xlfn._xlws.FILTER(AA$19:AA$1010,(($A$19:$A$1010=$A7)*(AA$19:AA$1010&lt;&gt;0)*(AA$19:AA$1010&lt;&gt;"F"))))),"")</f>
        <v/>
      </c>
      <c r="AB7" s="47" t="str" cm="1">
        <f t="array" ref="AB7">+IFERROR(_xlfn.CONCAT(_xlfn.UNIQUE(_xlfn._xlws.FILTER(AB$19:AB$1010,(($A$19:$A$1010=$A7)*(AB$19:AB$1010&lt;&gt;0)*(AB$19:AB$1010&lt;&gt;"F"))))),"")</f>
        <v/>
      </c>
      <c r="AC7" s="45" t="str" cm="1">
        <f t="array" ref="AC7">+IFERROR(_xlfn.CONCAT(_xlfn.UNIQUE(_xlfn._xlws.FILTER(AC$19:AC$1010,(($A$19:$A$1010=$A7)*(AC$19:AC$1010&lt;&gt;0)*(AC$19:AC$1010&lt;&gt;"F"))))),"")</f>
        <v/>
      </c>
      <c r="AD7" s="46" t="str" cm="1">
        <f t="array" ref="AD7">+IFERROR(_xlfn.CONCAT(_xlfn.UNIQUE(_xlfn._xlws.FILTER(AD$19:AD$1010,(($A$19:$A$1010=$A7)*(AD$19:AD$1010&lt;&gt;0)*(AD$19:AD$1010&lt;&gt;"F"))))),"")</f>
        <v/>
      </c>
      <c r="AE7" s="46" t="str" cm="1">
        <f t="array" ref="AE7">+IFERROR(_xlfn.CONCAT(_xlfn.UNIQUE(_xlfn._xlws.FILTER(AE$19:AE$1010,(($A$19:$A$1010=$A7)*(AE$19:AE$1010&lt;&gt;0)*(AE$19:AE$1010&lt;&gt;"F"))))),"")</f>
        <v/>
      </c>
      <c r="AF7" s="47" t="str" cm="1">
        <f t="array" ref="AF7">+IFERROR(_xlfn.CONCAT(_xlfn.UNIQUE(_xlfn._xlws.FILTER(AF$19:AF$1010,(($A$19:$A$1010=$A7)*(AF$19:AF$1010&lt;&gt;0)*(AF$19:AF$1010&lt;&gt;"F"))))),"")</f>
        <v/>
      </c>
      <c r="AG7" s="45" t="str" cm="1">
        <f t="array" ref="AG7">+IFERROR(_xlfn.CONCAT(_xlfn.UNIQUE(_xlfn._xlws.FILTER(AG$19:AG$1010,(($A$19:$A$1010=$A7)*(AG$19:AG$1010&lt;&gt;0)*(AG$19:AG$1010&lt;&gt;"F"))))),"")</f>
        <v/>
      </c>
      <c r="AH7" s="46" t="str" cm="1">
        <f t="array" ref="AH7">+IFERROR(_xlfn.CONCAT(_xlfn.UNIQUE(_xlfn._xlws.FILTER(AH$19:AH$1010,(($A$19:$A$1010=$A7)*(AH$19:AH$1010&lt;&gt;0)*(AH$19:AH$1010&lt;&gt;"F"))))),"")</f>
        <v/>
      </c>
      <c r="AI7" s="46" t="str" cm="1">
        <f t="array" ref="AI7">+IFERROR(_xlfn.CONCAT(_xlfn.UNIQUE(_xlfn._xlws.FILTER(AI$19:AI$1010,(($A$19:$A$1010=$A7)*(AI$19:AI$1010&lt;&gt;0)*(AI$19:AI$1010&lt;&gt;"F"))))),"")</f>
        <v/>
      </c>
      <c r="AJ7" s="46" t="str" cm="1">
        <f t="array" ref="AJ7">+IFERROR(_xlfn.CONCAT(_xlfn.UNIQUE(_xlfn._xlws.FILTER(AJ$19:AJ$1010,(($A$19:$A$1010=$A7)*(AJ$19:AJ$1010&lt;&gt;0)*(AJ$19:AJ$1010&lt;&gt;"F"))))),"")</f>
        <v/>
      </c>
      <c r="AK7" s="47" t="str" cm="1">
        <f t="array" ref="AK7">+IFERROR(_xlfn.CONCAT(_xlfn.UNIQUE(_xlfn._xlws.FILTER(AK$19:AK$1010,(($A$19:$A$1010=$A7)*(AK$19:AK$1010&lt;&gt;0)*(AK$19:AK$1010&lt;&gt;"F"))))),"")</f>
        <v/>
      </c>
      <c r="AL7" s="45" t="str" cm="1">
        <f t="array" ref="AL7">+IFERROR(_xlfn.CONCAT(_xlfn.UNIQUE(_xlfn._xlws.FILTER(AL$19:AL$1010,(($A$19:$A$1010=$A7)*(AL$19:AL$1010&lt;&gt;0)*(AL$19:AL$1010&lt;&gt;"F"))))),"")</f>
        <v/>
      </c>
      <c r="AM7" s="46" t="str" cm="1">
        <f t="array" ref="AM7">+IFERROR(_xlfn.CONCAT(_xlfn.UNIQUE(_xlfn._xlws.FILTER(AM$19:AM$1010,(($A$19:$A$1010=$A7)*(AM$19:AM$1010&lt;&gt;0)*(AM$19:AM$1010&lt;&gt;"F"))))),"")</f>
        <v/>
      </c>
      <c r="AN7" s="46" t="str" cm="1">
        <f t="array" ref="AN7">+IFERROR(_xlfn.CONCAT(_xlfn.UNIQUE(_xlfn._xlws.FILTER(AN$19:AN$1010,(($A$19:$A$1010=$A7)*(AN$19:AN$1010&lt;&gt;0)*(AN$19:AN$1010&lt;&gt;"F"))))),"")</f>
        <v/>
      </c>
      <c r="AO7" s="47" t="str" cm="1">
        <f t="array" ref="AO7">+IFERROR(_xlfn.CONCAT(_xlfn.UNIQUE(_xlfn._xlws.FILTER(AO$19:AO$1010,(($A$19:$A$1010=$A7)*(AO$19:AO$1010&lt;&gt;0)*(AO$19:AO$1010&lt;&gt;"F"))))),"")</f>
        <v/>
      </c>
      <c r="AP7" s="45" t="str" cm="1">
        <f t="array" ref="AP7">+IFERROR(_xlfn.CONCAT(_xlfn.UNIQUE(_xlfn._xlws.FILTER(AP$19:AP$1010,(($A$19:$A$1010=$A7)*(AP$19:AP$1010&lt;&gt;0)*(AP$19:AP$1010&lt;&gt;"F"))))),"")</f>
        <v/>
      </c>
      <c r="AQ7" s="46" t="str" cm="1">
        <f t="array" ref="AQ7">+IFERROR(_xlfn.CONCAT(_xlfn.UNIQUE(_xlfn._xlws.FILTER(AQ$19:AQ$1010,(($A$19:$A$1010=$A7)*(AQ$19:AQ$1010&lt;&gt;0)*(AQ$19:AQ$1010&lt;&gt;"F"))))),"")</f>
        <v/>
      </c>
      <c r="AR7" s="46" t="str" cm="1">
        <f t="array" ref="AR7">+IFERROR(_xlfn.CONCAT(_xlfn.UNIQUE(_xlfn._xlws.FILTER(AR$19:AR$1010,(($A$19:$A$1010=$A7)*(AR$19:AR$1010&lt;&gt;0)*(AR$19:AR$1010&lt;&gt;"F"))))),"")</f>
        <v/>
      </c>
      <c r="AS7" s="47" t="str" cm="1">
        <f t="array" ref="AS7">+IFERROR(_xlfn.CONCAT(_xlfn.UNIQUE(_xlfn._xlws.FILTER(AS$19:AS$1010,(($A$19:$A$1010=$A7)*(AS$19:AS$1010&lt;&gt;0)*(AS$19:AS$1010&lt;&gt;"F"))))),"")</f>
        <v/>
      </c>
      <c r="AT7" s="45" t="str" cm="1">
        <f t="array" ref="AT7">+IFERROR(_xlfn.CONCAT(_xlfn.UNIQUE(_xlfn._xlws.FILTER(AT$19:AT$1010,(($A$19:$A$1010=$A7)*(AT$19:AT$1010&lt;&gt;0)*(AT$19:AT$1010&lt;&gt;"F"))))),"")</f>
        <v/>
      </c>
      <c r="AU7" s="46" t="str" cm="1">
        <f t="array" ref="AU7">+IFERROR(_xlfn.CONCAT(_xlfn.UNIQUE(_xlfn._xlws.FILTER(AU$19:AU$1010,(($A$19:$A$1010=$A7)*(AU$19:AU$1010&lt;&gt;0)*(AU$19:AU$1010&lt;&gt;"F"))))),"")</f>
        <v/>
      </c>
      <c r="AV7" s="46" t="str" cm="1">
        <f t="array" ref="AV7">+IFERROR(_xlfn.CONCAT(_xlfn.UNIQUE(_xlfn._xlws.FILTER(AV$19:AV$1010,(($A$19:$A$1010=$A7)*(AV$19:AV$1010&lt;&gt;0)*(AV$19:AV$1010&lt;&gt;"F"))))),"")</f>
        <v/>
      </c>
      <c r="AW7" s="46" t="str" cm="1">
        <f t="array" ref="AW7">+IFERROR(_xlfn.CONCAT(_xlfn.UNIQUE(_xlfn._xlws.FILTER(AW$19:AW$1010,(($A$19:$A$1010=$A7)*(AW$19:AW$1010&lt;&gt;0)*(AW$19:AW$1010&lt;&gt;"F"))))),"")</f>
        <v/>
      </c>
      <c r="AX7" s="47" t="str" cm="1">
        <f t="array" ref="AX7">+IFERROR(_xlfn.CONCAT(_xlfn.UNIQUE(_xlfn._xlws.FILTER(AX$19:AX$1010,(($A$19:$A$1010=$A7)*(AX$19:AX$1010&lt;&gt;0)*(AX$19:AX$1010&lt;&gt;"F"))))),"")</f>
        <v/>
      </c>
      <c r="AY7" s="45" t="str" cm="1">
        <f t="array" ref="AY7">+IFERROR(_xlfn.CONCAT(_xlfn.UNIQUE(_xlfn._xlws.FILTER(AY$19:AY$1010,(($A$19:$A$1010=$A7)*(AY$19:AY$1010&lt;&gt;0)*(AY$19:AY$1010&lt;&gt;"F"))))),"")</f>
        <v/>
      </c>
      <c r="AZ7" s="46" t="str" cm="1">
        <f t="array" ref="AZ7">+IFERROR(_xlfn.CONCAT(_xlfn.UNIQUE(_xlfn._xlws.FILTER(AZ$19:AZ$1010,(($A$19:$A$1010=$A7)*(AZ$19:AZ$1010&lt;&gt;0)*(AZ$19:AZ$1010&lt;&gt;"F"))))),"")</f>
        <v/>
      </c>
      <c r="BA7" s="46" t="str" cm="1">
        <f t="array" ref="BA7">+IFERROR(_xlfn.CONCAT(_xlfn.UNIQUE(_xlfn._xlws.FILTER(BA$19:BA$1010,(($A$19:$A$1010=$A7)*(BA$19:BA$1010&lt;&gt;0)*(BA$19:BA$1010&lt;&gt;"F"))))),"")</f>
        <v/>
      </c>
      <c r="BB7" s="47" t="str" cm="1">
        <f t="array" ref="BB7">+IFERROR(_xlfn.CONCAT(_xlfn.UNIQUE(_xlfn._xlws.FILTER(BB$19:BB$1010,(($A$19:$A$1010=$A7)*(BB$19:BB$1010&lt;&gt;0)*(BB$19:BB$1010&lt;&gt;"F"))))),"")</f>
        <v/>
      </c>
      <c r="BC7" s="45" t="str" cm="1">
        <f t="array" ref="BC7">+IFERROR(_xlfn.CONCAT(_xlfn.UNIQUE(_xlfn._xlws.FILTER(BC$19:BC$1010,(($A$19:$A$1010=$A7)*(BC$19:BC$1010&lt;&gt;0)*(BC$19:BC$1010&lt;&gt;"F"))))),"")</f>
        <v/>
      </c>
      <c r="BD7" s="46" t="str" cm="1">
        <f t="array" ref="BD7">+IFERROR(_xlfn.CONCAT(_xlfn.UNIQUE(_xlfn._xlws.FILTER(BD$19:BD$1010,(($A$19:$A$1010=$A7)*(BD$19:BD$1010&lt;&gt;0)*(BD$19:BD$1010&lt;&gt;"F"))))),"")</f>
        <v/>
      </c>
      <c r="BE7" s="46" t="str" cm="1">
        <f t="array" ref="BE7">+IFERROR(_xlfn.CONCAT(_xlfn.UNIQUE(_xlfn._xlws.FILTER(BE$19:BE$1010,(($A$19:$A$1010=$A7)*(BE$19:BE$1010&lt;&gt;0)*(BE$19:BE$1010&lt;&gt;"F"))))),"")</f>
        <v/>
      </c>
      <c r="BF7" s="47" t="str" cm="1">
        <f t="array" ref="BF7">+IFERROR(_xlfn.CONCAT(_xlfn.UNIQUE(_xlfn._xlws.FILTER(BF$19:BF$1010,(($A$19:$A$1010=$A7)*(BF$19:BF$1010&lt;&gt;0)*(BF$19:BF$1010&lt;&gt;"F"))))),"")</f>
        <v/>
      </c>
      <c r="BG7" s="45" t="str" cm="1">
        <f t="array" ref="BG7">+IFERROR(_xlfn.CONCAT(_xlfn.UNIQUE(_xlfn._xlws.FILTER(BG$19:BG$1010,(($A$19:$A$1010=$A7)*(BG$19:BG$1010&lt;&gt;0)*(BG$19:BG$1010&lt;&gt;"F"))))),"")</f>
        <v/>
      </c>
      <c r="BH7" s="46" t="str" cm="1">
        <f t="array" ref="BH7">+IFERROR(_xlfn.CONCAT(_xlfn.UNIQUE(_xlfn._xlws.FILTER(BH$19:BH$1010,(($A$19:$A$1010=$A7)*(BH$19:BH$1010&lt;&gt;0)*(BH$19:BH$1010&lt;&gt;"F"))))),"")</f>
        <v/>
      </c>
      <c r="BI7" s="46" t="str" cm="1">
        <f t="array" ref="BI7">+IFERROR(_xlfn.CONCAT(_xlfn.UNIQUE(_xlfn._xlws.FILTER(BI$19:BI$1010,(($A$19:$A$1010=$A7)*(BI$19:BI$1010&lt;&gt;0)*(BI$19:BI$1010&lt;&gt;"F"))))),"")</f>
        <v/>
      </c>
      <c r="BJ7" s="46" t="str" cm="1">
        <f t="array" ref="BJ7">+IFERROR(_xlfn.CONCAT(_xlfn.UNIQUE(_xlfn._xlws.FILTER(BJ$19:BJ$1010,(($A$19:$A$1010=$A7)*(BJ$19:BJ$1010&lt;&gt;0)*(BJ$19:BJ$1010&lt;&gt;"F"))))),"")</f>
        <v/>
      </c>
      <c r="BK7" s="47" t="str" cm="1">
        <f t="array" ref="BK7">+IFERROR(_xlfn.CONCAT(_xlfn.UNIQUE(_xlfn._xlws.FILTER(BK$19:BK$1010,(($A$19:$A$1010=$A7)*(BK$19:BK$1010&lt;&gt;0)*(BK$19:BK$1010&lt;&gt;"F"))))),"")</f>
        <v/>
      </c>
      <c r="BL7" s="45" t="str" cm="1">
        <f t="array" ref="BL7">+IFERROR(_xlfn.CONCAT(_xlfn.UNIQUE(_xlfn._xlws.FILTER(BL$19:BL$1010,(($A$19:$A$1010=$A7)*(BL$19:BL$1010&lt;&gt;0)*(BL$19:BL$1010&lt;&gt;"F"))))),"")</f>
        <v/>
      </c>
      <c r="BM7" s="46" t="str" cm="1">
        <f t="array" ref="BM7">+IFERROR(_xlfn.CONCAT(_xlfn.UNIQUE(_xlfn._xlws.FILTER(BM$19:BM$1010,(($A$19:$A$1010=$A7)*(BM$19:BM$1010&lt;&gt;0)*(BM$19:BM$1010&lt;&gt;"F"))))),"")</f>
        <v/>
      </c>
      <c r="BN7" s="46" t="str" cm="1">
        <f t="array" ref="BN7">+IFERROR(_xlfn.CONCAT(_xlfn.UNIQUE(_xlfn._xlws.FILTER(BN$19:BN$1010,(($A$19:$A$1010=$A7)*(BN$19:BN$1010&lt;&gt;0)*(BN$19:BN$1010&lt;&gt;"F"))))),"")</f>
        <v/>
      </c>
      <c r="BO7" s="47" t="str" cm="1">
        <f t="array" ref="BO7">+IFERROR(_xlfn.CONCAT(_xlfn.UNIQUE(_xlfn._xlws.FILTER(BO$19:BO$1010,(($A$19:$A$1010=$A7)*(BO$19:BO$1010&lt;&gt;0)*(BO$19:BO$1010&lt;&gt;"F"))))),"")</f>
        <v/>
      </c>
      <c r="BP7" s="45" t="str" cm="1">
        <f t="array" ref="BP7">+IFERROR(_xlfn.CONCAT(_xlfn.UNIQUE(_xlfn._xlws.FILTER(BP$19:BP$1010,(($A$19:$A$1010=$A7)*(BP$19:BP$1010&lt;&gt;0)*(BP$19:BP$1010&lt;&gt;"F"))))),"")</f>
        <v/>
      </c>
      <c r="BQ7" s="46" t="str" cm="1">
        <f t="array" ref="BQ7">+IFERROR(_xlfn.CONCAT(_xlfn.UNIQUE(_xlfn._xlws.FILTER(BQ$19:BQ$1010,(($A$19:$A$1010=$A7)*(BQ$19:BQ$1010&lt;&gt;0)*(BQ$19:BQ$1010&lt;&gt;"F"))))),"")</f>
        <v/>
      </c>
      <c r="BR7" s="46" t="str" cm="1">
        <f t="array" ref="BR7">+IFERROR(_xlfn.CONCAT(_xlfn.UNIQUE(_xlfn._xlws.FILTER(BR$19:BR$1010,(($A$19:$A$1010=$A7)*(BR$19:BR$1010&lt;&gt;0)*(BR$19:BR$1010&lt;&gt;"F"))))),"")</f>
        <v/>
      </c>
      <c r="BS7" s="47" t="str" cm="1">
        <f t="array" ref="BS7">+IFERROR(_xlfn.CONCAT(_xlfn.UNIQUE(_xlfn._xlws.FILTER(BS$19:BS$1010,(($A$19:$A$1010=$A7)*(BS$19:BS$1010&lt;&gt;0)*(BS$19:BS$1010&lt;&gt;"F"))))),"")</f>
        <v/>
      </c>
    </row>
    <row r="8" spans="1:71" s="13" customFormat="1" ht="39.9" customHeight="1" x14ac:dyDescent="0.3">
      <c r="A8" s="57" t="str">
        <v>RAVEX - ROTEIRIZACAO DE GADO</v>
      </c>
      <c r="B8" s="27"/>
      <c r="C8" s="28">
        <v>1200000</v>
      </c>
      <c r="D8" s="29" t="str">
        <v>Estratégico</v>
      </c>
      <c r="E8" s="29" t="str">
        <v>Implantação Sistema Terceiro</v>
      </c>
      <c r="F8" s="29" t="str">
        <v>Média</v>
      </c>
      <c r="G8" s="45" t="str" cm="1">
        <f t="array" ref="G8">+IFERROR(_xlfn.CONCAT(_xlfn.UNIQUE(_xlfn._xlws.FILTER(G$19:G$1010,(($A$19:$A$1010=$A8)*(G$19:G$1010&lt;&gt;0)*(G$19:G$1010&lt;&gt;"F"))))),"")</f>
        <v/>
      </c>
      <c r="H8" s="46" t="str" cm="1">
        <f t="array" ref="H8">+IFERROR(_xlfn.CONCAT(_xlfn.UNIQUE(_xlfn._xlws.FILTER(H$19:H$1010,(($A$19:$A$1010=$A8)*(H$19:H$1010&lt;&gt;0)*(H$19:H$1010&lt;&gt;"F"))))),"")</f>
        <v/>
      </c>
      <c r="I8" s="46" t="str" cm="1">
        <f t="array" ref="I8">+IFERROR(_xlfn.CONCAT(_xlfn.UNIQUE(_xlfn._xlws.FILTER(I$19:I$1010,(($A$19:$A$1010=$A8)*(I$19:I$1010&lt;&gt;0)*(I$19:I$1010&lt;&gt;"F"))))),"")</f>
        <v/>
      </c>
      <c r="J8" s="46" t="str" cm="1">
        <f t="array" ref="J8">+IFERROR(_xlfn.CONCAT(_xlfn.UNIQUE(_xlfn._xlws.FILTER(J$19:J$1010,(($A$19:$A$1010=$A8)*(J$19:J$1010&lt;&gt;0)*(J$19:J$1010&lt;&gt;"F"))))),"")</f>
        <v/>
      </c>
      <c r="K8" s="47" t="str" cm="1">
        <f t="array" ref="K8">+IFERROR(_xlfn.CONCAT(_xlfn.UNIQUE(_xlfn._xlws.FILTER(K$19:K$1010,(($A$19:$A$1010=$A8)*(K$19:K$1010&lt;&gt;0)*(K$19:K$1010&lt;&gt;"F"))))),"")</f>
        <v/>
      </c>
      <c r="L8" s="45" t="str" cm="1">
        <f t="array" ref="L8">+IFERROR(_xlfn.CONCAT(_xlfn.UNIQUE(_xlfn._xlws.FILTER(L$19:L$1010,(($A$19:$A$1010=$A8)*(L$19:L$1010&lt;&gt;0)*(L$19:L$1010&lt;&gt;"F"))))),"")</f>
        <v/>
      </c>
      <c r="M8" s="46" t="str" cm="1">
        <f t="array" ref="M8">+IFERROR(_xlfn.CONCAT(_xlfn.UNIQUE(_xlfn._xlws.FILTER(M$19:M$1010,(($A$19:$A$1010=$A8)*(M$19:M$1010&lt;&gt;0)*(M$19:M$1010&lt;&gt;"F"))))),"")</f>
        <v/>
      </c>
      <c r="N8" s="46" t="str" cm="1">
        <f t="array" ref="N8">+IFERROR(_xlfn.CONCAT(_xlfn.UNIQUE(_xlfn._xlws.FILTER(N$19:N$1010,(($A$19:$A$1010=$A8)*(N$19:N$1010&lt;&gt;0)*(N$19:N$1010&lt;&gt;"F"))))),"")</f>
        <v/>
      </c>
      <c r="O8" s="47" t="str" cm="1">
        <f t="array" ref="O8">+IFERROR(_xlfn.CONCAT(_xlfn.UNIQUE(_xlfn._xlws.FILTER(O$19:O$1010,(($A$19:$A$1010=$A8)*(O$19:O$1010&lt;&gt;0)*(O$19:O$1010&lt;&gt;"F"))))),"")</f>
        <v/>
      </c>
      <c r="P8" s="45" t="str" cm="1">
        <f t="array" ref="P8">+IFERROR(_xlfn.CONCAT(_xlfn.UNIQUE(_xlfn._xlws.FILTER(P$19:P$1010,(($A$19:$A$1010=$A8)*(P$19:P$1010&lt;&gt;0)*(P$19:P$1010&lt;&gt;"F"))))),"")</f>
        <v/>
      </c>
      <c r="Q8" s="46" t="str" cm="1">
        <f t="array" ref="Q8">+IFERROR(_xlfn.CONCAT(_xlfn.UNIQUE(_xlfn._xlws.FILTER(Q$19:Q$1010,(($A$19:$A$1010=$A8)*(Q$19:Q$1010&lt;&gt;0)*(Q$19:Q$1010&lt;&gt;"F"))))),"")</f>
        <v/>
      </c>
      <c r="R8" s="46" t="str" cm="1">
        <f t="array" ref="R8">+IFERROR(_xlfn.CONCAT(_xlfn.UNIQUE(_xlfn._xlws.FILTER(R$19:R$1010,(($A$19:$A$1010=$A8)*(R$19:R$1010&lt;&gt;0)*(R$19:R$1010&lt;&gt;"F"))))),"")</f>
        <v/>
      </c>
      <c r="S8" s="47" t="str" cm="1">
        <f t="array" ref="S8">+IFERROR(_xlfn.CONCAT(_xlfn.UNIQUE(_xlfn._xlws.FILTER(S$19:S$1010,(($A$19:$A$1010=$A8)*(S$19:S$1010&lt;&gt;0)*(S$19:S$1010&lt;&gt;"F"))))),"")</f>
        <v/>
      </c>
      <c r="T8" s="45" t="str" cm="1">
        <f t="array" ref="T8">+IFERROR(_xlfn.CONCAT(_xlfn.UNIQUE(_xlfn._xlws.FILTER(T$19:T$1010,(($A$19:$A$1010=$A8)*(T$19:T$1010&lt;&gt;0)*(T$19:T$1010&lt;&gt;"F"))))),"")</f>
        <v/>
      </c>
      <c r="U8" s="46" t="str" cm="1">
        <f t="array" ref="U8">+IFERROR(_xlfn.CONCAT(_xlfn.UNIQUE(_xlfn._xlws.FILTER(U$19:U$1010,(($A$19:$A$1010=$A8)*(U$19:U$1010&lt;&gt;0)*(U$19:U$1010&lt;&gt;"F"))))),"")</f>
        <v/>
      </c>
      <c r="V8" s="46" t="str" cm="1">
        <f t="array" ref="V8">+IFERROR(_xlfn.CONCAT(_xlfn.UNIQUE(_xlfn._xlws.FILTER(V$19:V$1010,(($A$19:$A$1010=$A8)*(V$19:V$1010&lt;&gt;0)*(V$19:V$1010&lt;&gt;"F"))))),"")</f>
        <v/>
      </c>
      <c r="W8" s="46" t="str" cm="1">
        <f t="array" ref="W8">+IFERROR(_xlfn.CONCAT(_xlfn.UNIQUE(_xlfn._xlws.FILTER(W$19:W$1010,(($A$19:$A$1010=$A8)*(W$19:W$1010&lt;&gt;0)*(W$19:W$1010&lt;&gt;"F"))))),"")</f>
        <v/>
      </c>
      <c r="X8" s="47" t="str" cm="1">
        <f t="array" ref="X8">+IFERROR(_xlfn.CONCAT(_xlfn.UNIQUE(_xlfn._xlws.FILTER(X$19:X$1010,(($A$19:$A$1010=$A8)*(X$19:X$1010&lt;&gt;0)*(X$19:X$1010&lt;&gt;"F"))))),"")</f>
        <v/>
      </c>
      <c r="Y8" s="45" t="str" cm="1">
        <f t="array" ref="Y8">+IFERROR(_xlfn.CONCAT(_xlfn.UNIQUE(_xlfn._xlws.FILTER(Y$19:Y$1010,(($A$19:$A$1010=$A8)*(Y$19:Y$1010&lt;&gt;0)*(Y$19:Y$1010&lt;&gt;"F"))))),"")</f>
        <v/>
      </c>
      <c r="Z8" s="46" t="str" cm="1">
        <f t="array" ref="Z8">+IFERROR(_xlfn.CONCAT(_xlfn.UNIQUE(_xlfn._xlws.FILTER(Z$19:Z$1010,(($A$19:$A$1010=$A8)*(Z$19:Z$1010&lt;&gt;0)*(Z$19:Z$1010&lt;&gt;"F"))))),"")</f>
        <v/>
      </c>
      <c r="AA8" s="46" t="str" cm="1">
        <f t="array" ref="AA8">+IFERROR(_xlfn.CONCAT(_xlfn.UNIQUE(_xlfn._xlws.FILTER(AA$19:AA$1010,(($A$19:$A$1010=$A8)*(AA$19:AA$1010&lt;&gt;0)*(AA$19:AA$1010&lt;&gt;"F"))))),"")</f>
        <v/>
      </c>
      <c r="AB8" s="47" t="str" cm="1">
        <f t="array" ref="AB8">+IFERROR(_xlfn.CONCAT(_xlfn.UNIQUE(_xlfn._xlws.FILTER(AB$19:AB$1010,(($A$19:$A$1010=$A8)*(AB$19:AB$1010&lt;&gt;0)*(AB$19:AB$1010&lt;&gt;"F"))))),"")</f>
        <v/>
      </c>
      <c r="AC8" s="45" t="str" cm="1">
        <f t="array" ref="AC8">+IFERROR(_xlfn.CONCAT(_xlfn.UNIQUE(_xlfn._xlws.FILTER(AC$19:AC$1010,(($A$19:$A$1010=$A8)*(AC$19:AC$1010&lt;&gt;0)*(AC$19:AC$1010&lt;&gt;"F"))))),"")</f>
        <v/>
      </c>
      <c r="AD8" s="46" t="str" cm="1">
        <f t="array" ref="AD8">+IFERROR(_xlfn.CONCAT(_xlfn.UNIQUE(_xlfn._xlws.FILTER(AD$19:AD$1010,(($A$19:$A$1010=$A8)*(AD$19:AD$1010&lt;&gt;0)*(AD$19:AD$1010&lt;&gt;"F"))))),"")</f>
        <v/>
      </c>
      <c r="AE8" s="46" t="str" cm="1">
        <f t="array" ref="AE8">+IFERROR(_xlfn.CONCAT(_xlfn.UNIQUE(_xlfn._xlws.FILTER(AE$19:AE$1010,(($A$19:$A$1010=$A8)*(AE$19:AE$1010&lt;&gt;0)*(AE$19:AE$1010&lt;&gt;"F"))))),"")</f>
        <v/>
      </c>
      <c r="AF8" s="47" t="str" cm="1">
        <f t="array" ref="AF8">+IFERROR(_xlfn.CONCAT(_xlfn.UNIQUE(_xlfn._xlws.FILTER(AF$19:AF$1010,(($A$19:$A$1010=$A8)*(AF$19:AF$1010&lt;&gt;0)*(AF$19:AF$1010&lt;&gt;"F"))))),"")</f>
        <v/>
      </c>
      <c r="AG8" s="45" t="str" cm="1">
        <f t="array" ref="AG8">+IFERROR(_xlfn.CONCAT(_xlfn.UNIQUE(_xlfn._xlws.FILTER(AG$19:AG$1010,(($A$19:$A$1010=$A8)*(AG$19:AG$1010&lt;&gt;0)*(AG$19:AG$1010&lt;&gt;"F"))))),"")</f>
        <v/>
      </c>
      <c r="AH8" s="46" t="str" cm="1">
        <f t="array" ref="AH8">+IFERROR(_xlfn.CONCAT(_xlfn.UNIQUE(_xlfn._xlws.FILTER(AH$19:AH$1010,(($A$19:$A$1010=$A8)*(AH$19:AH$1010&lt;&gt;0)*(AH$19:AH$1010&lt;&gt;"F"))))),"")</f>
        <v/>
      </c>
      <c r="AI8" s="46" t="str" cm="1">
        <f t="array" ref="AI8">+IFERROR(_xlfn.CONCAT(_xlfn.UNIQUE(_xlfn._xlws.FILTER(AI$19:AI$1010,(($A$19:$A$1010=$A8)*(AI$19:AI$1010&lt;&gt;0)*(AI$19:AI$1010&lt;&gt;"F"))))),"")</f>
        <v/>
      </c>
      <c r="AJ8" s="46" t="str" cm="1">
        <f t="array" ref="AJ8">+IFERROR(_xlfn.CONCAT(_xlfn.UNIQUE(_xlfn._xlws.FILTER(AJ$19:AJ$1010,(($A$19:$A$1010=$A8)*(AJ$19:AJ$1010&lt;&gt;0)*(AJ$19:AJ$1010&lt;&gt;"F"))))),"")</f>
        <v/>
      </c>
      <c r="AK8" s="47" t="str" cm="1">
        <f t="array" ref="AK8">+IFERROR(_xlfn.CONCAT(_xlfn.UNIQUE(_xlfn._xlws.FILTER(AK$19:AK$1010,(($A$19:$A$1010=$A8)*(AK$19:AK$1010&lt;&gt;0)*(AK$19:AK$1010&lt;&gt;"F"))))),"")</f>
        <v/>
      </c>
      <c r="AL8" s="45" t="str" cm="1">
        <f t="array" ref="AL8">+IFERROR(_xlfn.CONCAT(_xlfn.UNIQUE(_xlfn._xlws.FILTER(AL$19:AL$1010,(($A$19:$A$1010=$A8)*(AL$19:AL$1010&lt;&gt;0)*(AL$19:AL$1010&lt;&gt;"F"))))),"")</f>
        <v/>
      </c>
      <c r="AM8" s="46" t="str" cm="1">
        <f t="array" ref="AM8">+IFERROR(_xlfn.CONCAT(_xlfn.UNIQUE(_xlfn._xlws.FILTER(AM$19:AM$1010,(($A$19:$A$1010=$A8)*(AM$19:AM$1010&lt;&gt;0)*(AM$19:AM$1010&lt;&gt;"F"))))),"")</f>
        <v/>
      </c>
      <c r="AN8" s="46" t="str" cm="1">
        <f t="array" ref="AN8">+IFERROR(_xlfn.CONCAT(_xlfn.UNIQUE(_xlfn._xlws.FILTER(AN$19:AN$1010,(($A$19:$A$1010=$A8)*(AN$19:AN$1010&lt;&gt;0)*(AN$19:AN$1010&lt;&gt;"F"))))),"")</f>
        <v/>
      </c>
      <c r="AO8" s="47" t="str" cm="1">
        <f t="array" ref="AO8">+IFERROR(_xlfn.CONCAT(_xlfn.UNIQUE(_xlfn._xlws.FILTER(AO$19:AO$1010,(($A$19:$A$1010=$A8)*(AO$19:AO$1010&lt;&gt;0)*(AO$19:AO$1010&lt;&gt;"F"))))),"")</f>
        <v/>
      </c>
      <c r="AP8" s="45" t="str" cm="1">
        <f t="array" ref="AP8">+IFERROR(_xlfn.CONCAT(_xlfn.UNIQUE(_xlfn._xlws.FILTER(AP$19:AP$1010,(($A$19:$A$1010=$A8)*(AP$19:AP$1010&lt;&gt;0)*(AP$19:AP$1010&lt;&gt;"F"))))),"")</f>
        <v/>
      </c>
      <c r="AQ8" s="46" t="str" cm="1">
        <f t="array" ref="AQ8">+IFERROR(_xlfn.CONCAT(_xlfn.UNIQUE(_xlfn._xlws.FILTER(AQ$19:AQ$1010,(($A$19:$A$1010=$A8)*(AQ$19:AQ$1010&lt;&gt;0)*(AQ$19:AQ$1010&lt;&gt;"F"))))),"")</f>
        <v/>
      </c>
      <c r="AR8" s="46" t="str" cm="1">
        <f t="array" ref="AR8">+IFERROR(_xlfn.CONCAT(_xlfn.UNIQUE(_xlfn._xlws.FILTER(AR$19:AR$1010,(($A$19:$A$1010=$A8)*(AR$19:AR$1010&lt;&gt;0)*(AR$19:AR$1010&lt;&gt;"F"))))),"")</f>
        <v/>
      </c>
      <c r="AS8" s="47" t="str" cm="1">
        <f t="array" ref="AS8">+IFERROR(_xlfn.CONCAT(_xlfn.UNIQUE(_xlfn._xlws.FILTER(AS$19:AS$1010,(($A$19:$A$1010=$A8)*(AS$19:AS$1010&lt;&gt;0)*(AS$19:AS$1010&lt;&gt;"F"))))),"")</f>
        <v/>
      </c>
      <c r="AT8" s="45" t="str" cm="1">
        <f t="array" ref="AT8">+IFERROR(_xlfn.CONCAT(_xlfn.UNIQUE(_xlfn._xlws.FILTER(AT$19:AT$1010,(($A$19:$A$1010=$A8)*(AT$19:AT$1010&lt;&gt;0)*(AT$19:AT$1010&lt;&gt;"F"))))),"")</f>
        <v/>
      </c>
      <c r="AU8" s="46" t="str" cm="1">
        <f t="array" ref="AU8">+IFERROR(_xlfn.CONCAT(_xlfn.UNIQUE(_xlfn._xlws.FILTER(AU$19:AU$1010,(($A$19:$A$1010=$A8)*(AU$19:AU$1010&lt;&gt;0)*(AU$19:AU$1010&lt;&gt;"F"))))),"")</f>
        <v/>
      </c>
      <c r="AV8" s="46" t="str" cm="1">
        <f t="array" ref="AV8">+IFERROR(_xlfn.CONCAT(_xlfn.UNIQUE(_xlfn._xlws.FILTER(AV$19:AV$1010,(($A$19:$A$1010=$A8)*(AV$19:AV$1010&lt;&gt;0)*(AV$19:AV$1010&lt;&gt;"F"))))),"")</f>
        <v/>
      </c>
      <c r="AW8" s="46" t="str" cm="1">
        <f t="array" ref="AW8">+IFERROR(_xlfn.CONCAT(_xlfn.UNIQUE(_xlfn._xlws.FILTER(AW$19:AW$1010,(($A$19:$A$1010=$A8)*(AW$19:AW$1010&lt;&gt;0)*(AW$19:AW$1010&lt;&gt;"F"))))),"")</f>
        <v/>
      </c>
      <c r="AX8" s="47" t="str" cm="1">
        <f t="array" ref="AX8">+IFERROR(_xlfn.CONCAT(_xlfn.UNIQUE(_xlfn._xlws.FILTER(AX$19:AX$1010,(($A$19:$A$1010=$A8)*(AX$19:AX$1010&lt;&gt;0)*(AX$19:AX$1010&lt;&gt;"F"))))),"")</f>
        <v/>
      </c>
      <c r="AY8" s="45" t="str" cm="1">
        <f t="array" ref="AY8">+IFERROR(_xlfn.CONCAT(_xlfn.UNIQUE(_xlfn._xlws.FILTER(AY$19:AY$1010,(($A$19:$A$1010=$A8)*(AY$19:AY$1010&lt;&gt;0)*(AY$19:AY$1010&lt;&gt;"F"))))),"")</f>
        <v/>
      </c>
      <c r="AZ8" s="46" t="str" cm="1">
        <f t="array" ref="AZ8">+IFERROR(_xlfn.CONCAT(_xlfn.UNIQUE(_xlfn._xlws.FILTER(AZ$19:AZ$1010,(($A$19:$A$1010=$A8)*(AZ$19:AZ$1010&lt;&gt;0)*(AZ$19:AZ$1010&lt;&gt;"F"))))),"")</f>
        <v/>
      </c>
      <c r="BA8" s="46" t="str" cm="1">
        <f t="array" ref="BA8">+IFERROR(_xlfn.CONCAT(_xlfn.UNIQUE(_xlfn._xlws.FILTER(BA$19:BA$1010,(($A$19:$A$1010=$A8)*(BA$19:BA$1010&lt;&gt;0)*(BA$19:BA$1010&lt;&gt;"F"))))),"")</f>
        <v/>
      </c>
      <c r="BB8" s="47" t="str" cm="1">
        <f t="array" ref="BB8">+IFERROR(_xlfn.CONCAT(_xlfn.UNIQUE(_xlfn._xlws.FILTER(BB$19:BB$1010,(($A$19:$A$1010=$A8)*(BB$19:BB$1010&lt;&gt;0)*(BB$19:BB$1010&lt;&gt;"F"))))),"")</f>
        <v/>
      </c>
      <c r="BC8" s="45" t="str" cm="1">
        <f t="array" ref="BC8">+IFERROR(_xlfn.CONCAT(_xlfn.UNIQUE(_xlfn._xlws.FILTER(BC$19:BC$1010,(($A$19:$A$1010=$A8)*(BC$19:BC$1010&lt;&gt;0)*(BC$19:BC$1010&lt;&gt;"F"))))),"")</f>
        <v/>
      </c>
      <c r="BD8" s="46" t="str" cm="1">
        <f t="array" ref="BD8">+IFERROR(_xlfn.CONCAT(_xlfn.UNIQUE(_xlfn._xlws.FILTER(BD$19:BD$1010,(($A$19:$A$1010=$A8)*(BD$19:BD$1010&lt;&gt;0)*(BD$19:BD$1010&lt;&gt;"F"))))),"")</f>
        <v/>
      </c>
      <c r="BE8" s="46" t="str" cm="1">
        <f t="array" ref="BE8">+IFERROR(_xlfn.CONCAT(_xlfn.UNIQUE(_xlfn._xlws.FILTER(BE$19:BE$1010,(($A$19:$A$1010=$A8)*(BE$19:BE$1010&lt;&gt;0)*(BE$19:BE$1010&lt;&gt;"F"))))),"")</f>
        <v/>
      </c>
      <c r="BF8" s="47" t="str" cm="1">
        <f t="array" ref="BF8">+IFERROR(_xlfn.CONCAT(_xlfn.UNIQUE(_xlfn._xlws.FILTER(BF$19:BF$1010,(($A$19:$A$1010=$A8)*(BF$19:BF$1010&lt;&gt;0)*(BF$19:BF$1010&lt;&gt;"F"))))),"")</f>
        <v/>
      </c>
      <c r="BG8" s="45" t="str" cm="1">
        <f t="array" ref="BG8">+IFERROR(_xlfn.CONCAT(_xlfn.UNIQUE(_xlfn._xlws.FILTER(BG$19:BG$1010,(($A$19:$A$1010=$A8)*(BG$19:BG$1010&lt;&gt;0)*(BG$19:BG$1010&lt;&gt;"F"))))),"")</f>
        <v/>
      </c>
      <c r="BH8" s="46" t="str" cm="1">
        <f t="array" ref="BH8">+IFERROR(_xlfn.CONCAT(_xlfn.UNIQUE(_xlfn._xlws.FILTER(BH$19:BH$1010,(($A$19:$A$1010=$A8)*(BH$19:BH$1010&lt;&gt;0)*(BH$19:BH$1010&lt;&gt;"F"))))),"")</f>
        <v/>
      </c>
      <c r="BI8" s="46" t="str" cm="1">
        <f t="array" ref="BI8">+IFERROR(_xlfn.CONCAT(_xlfn.UNIQUE(_xlfn._xlws.FILTER(BI$19:BI$1010,(($A$19:$A$1010=$A8)*(BI$19:BI$1010&lt;&gt;0)*(BI$19:BI$1010&lt;&gt;"F"))))),"")</f>
        <v/>
      </c>
      <c r="BJ8" s="46" t="str" cm="1">
        <f t="array" ref="BJ8">+IFERROR(_xlfn.CONCAT(_xlfn.UNIQUE(_xlfn._xlws.FILTER(BJ$19:BJ$1010,(($A$19:$A$1010=$A8)*(BJ$19:BJ$1010&lt;&gt;0)*(BJ$19:BJ$1010&lt;&gt;"F"))))),"")</f>
        <v/>
      </c>
      <c r="BK8" s="47" t="str" cm="1">
        <f t="array" ref="BK8">+IFERROR(_xlfn.CONCAT(_xlfn.UNIQUE(_xlfn._xlws.FILTER(BK$19:BK$1010,(($A$19:$A$1010=$A8)*(BK$19:BK$1010&lt;&gt;0)*(BK$19:BK$1010&lt;&gt;"F"))))),"")</f>
        <v/>
      </c>
      <c r="BL8" s="45" t="str" cm="1">
        <f t="array" ref="BL8">+IFERROR(_xlfn.CONCAT(_xlfn.UNIQUE(_xlfn._xlws.FILTER(BL$19:BL$1010,(($A$19:$A$1010=$A8)*(BL$19:BL$1010&lt;&gt;0)*(BL$19:BL$1010&lt;&gt;"F"))))),"")</f>
        <v/>
      </c>
      <c r="BM8" s="46" t="str" cm="1">
        <f t="array" ref="BM8">+IFERROR(_xlfn.CONCAT(_xlfn.UNIQUE(_xlfn._xlws.FILTER(BM$19:BM$1010,(($A$19:$A$1010=$A8)*(BM$19:BM$1010&lt;&gt;0)*(BM$19:BM$1010&lt;&gt;"F"))))),"")</f>
        <v/>
      </c>
      <c r="BN8" s="46" t="str" cm="1">
        <f t="array" ref="BN8">+IFERROR(_xlfn.CONCAT(_xlfn.UNIQUE(_xlfn._xlws.FILTER(BN$19:BN$1010,(($A$19:$A$1010=$A8)*(BN$19:BN$1010&lt;&gt;0)*(BN$19:BN$1010&lt;&gt;"F"))))),"")</f>
        <v/>
      </c>
      <c r="BO8" s="47" t="str" cm="1">
        <f t="array" ref="BO8">+IFERROR(_xlfn.CONCAT(_xlfn.UNIQUE(_xlfn._xlws.FILTER(BO$19:BO$1010,(($A$19:$A$1010=$A8)*(BO$19:BO$1010&lt;&gt;0)*(BO$19:BO$1010&lt;&gt;"F"))))),"")</f>
        <v/>
      </c>
      <c r="BP8" s="45" t="str" cm="1">
        <f t="array" ref="BP8">+IFERROR(_xlfn.CONCAT(_xlfn.UNIQUE(_xlfn._xlws.FILTER(BP$19:BP$1010,(($A$19:$A$1010=$A8)*(BP$19:BP$1010&lt;&gt;0)*(BP$19:BP$1010&lt;&gt;"F"))))),"")</f>
        <v/>
      </c>
      <c r="BQ8" s="46" t="str" cm="1">
        <f t="array" ref="BQ8">+IFERROR(_xlfn.CONCAT(_xlfn.UNIQUE(_xlfn._xlws.FILTER(BQ$19:BQ$1010,(($A$19:$A$1010=$A8)*(BQ$19:BQ$1010&lt;&gt;0)*(BQ$19:BQ$1010&lt;&gt;"F"))))),"")</f>
        <v/>
      </c>
      <c r="BR8" s="46" t="str" cm="1">
        <f t="array" ref="BR8">+IFERROR(_xlfn.CONCAT(_xlfn.UNIQUE(_xlfn._xlws.FILTER(BR$19:BR$1010,(($A$19:$A$1010=$A8)*(BR$19:BR$1010&lt;&gt;0)*(BR$19:BR$1010&lt;&gt;"F"))))),"")</f>
        <v/>
      </c>
      <c r="BS8" s="47" t="str" cm="1">
        <f t="array" ref="BS8">+IFERROR(_xlfn.CONCAT(_xlfn.UNIQUE(_xlfn._xlws.FILTER(BS$19:BS$1010,(($A$19:$A$1010=$A8)*(BS$19:BS$1010&lt;&gt;0)*(BS$19:BS$1010&lt;&gt;"F"))))),"")</f>
        <v/>
      </c>
    </row>
    <row r="9" spans="1:71" s="13" customFormat="1" ht="39.9" customHeight="1" x14ac:dyDescent="0.3">
      <c r="A9" s="57" t="str">
        <v>TABELA DE FRETES - FAIXA KM/KG</v>
      </c>
      <c r="B9" s="27"/>
      <c r="C9" s="28">
        <v>3600000</v>
      </c>
      <c r="D9" s="29" t="str">
        <v>Evolução do Produto</v>
      </c>
      <c r="E9" s="29" t="str">
        <v>Evolução, Melhoria ou Adequação</v>
      </c>
      <c r="F9" s="29" t="str">
        <v>Muito Alta</v>
      </c>
      <c r="G9" s="45" t="str" cm="1">
        <f t="array" ref="G9">+IFERROR(_xlfn.CONCAT(_xlfn.UNIQUE(_xlfn._xlws.FILTER(G$19:G$1010,(($A$19:$A$1010=$A9)*(G$19:G$1010&lt;&gt;0)*(G$19:G$1010&lt;&gt;"F"))))),"")</f>
        <v/>
      </c>
      <c r="H9" s="46" t="str" cm="1">
        <f t="array" ref="H9">+IFERROR(_xlfn.CONCAT(_xlfn.UNIQUE(_xlfn._xlws.FILTER(H$19:H$1010,(($A$19:$A$1010=$A9)*(H$19:H$1010&lt;&gt;0)*(H$19:H$1010&lt;&gt;"F"))))),"")</f>
        <v/>
      </c>
      <c r="I9" s="46" t="str" cm="1">
        <f t="array" ref="I9">+IFERROR(_xlfn.CONCAT(_xlfn.UNIQUE(_xlfn._xlws.FILTER(I$19:I$1010,(($A$19:$A$1010=$A9)*(I$19:I$1010&lt;&gt;0)*(I$19:I$1010&lt;&gt;"F"))))),"")</f>
        <v/>
      </c>
      <c r="J9" s="46" t="str" cm="1">
        <f t="array" ref="J9">+IFERROR(_xlfn.CONCAT(_xlfn.UNIQUE(_xlfn._xlws.FILTER(J$19:J$1010,(($A$19:$A$1010=$A9)*(J$19:J$1010&lt;&gt;0)*(J$19:J$1010&lt;&gt;"F"))))),"")</f>
        <v/>
      </c>
      <c r="K9" s="47" t="str" cm="1">
        <f t="array" ref="K9">+IFERROR(_xlfn.CONCAT(_xlfn.UNIQUE(_xlfn._xlws.FILTER(K$19:K$1010,(($A$19:$A$1010=$A9)*(K$19:K$1010&lt;&gt;0)*(K$19:K$1010&lt;&gt;"F"))))),"")</f>
        <v/>
      </c>
      <c r="L9" s="45" t="str" cm="1">
        <f t="array" ref="L9">+IFERROR(_xlfn.CONCAT(_xlfn.UNIQUE(_xlfn._xlws.FILTER(L$19:L$1010,(($A$19:$A$1010=$A9)*(L$19:L$1010&lt;&gt;0)*(L$19:L$1010&lt;&gt;"F"))))),"")</f>
        <v/>
      </c>
      <c r="M9" s="46" t="str" cm="1">
        <f t="array" ref="M9">+IFERROR(_xlfn.CONCAT(_xlfn.UNIQUE(_xlfn._xlws.FILTER(M$19:M$1010,(($A$19:$A$1010=$A9)*(M$19:M$1010&lt;&gt;0)*(M$19:M$1010&lt;&gt;"F"))))),"")</f>
        <v/>
      </c>
      <c r="N9" s="46" t="str" cm="1">
        <f t="array" ref="N9">+IFERROR(_xlfn.CONCAT(_xlfn.UNIQUE(_xlfn._xlws.FILTER(N$19:N$1010,(($A$19:$A$1010=$A9)*(N$19:N$1010&lt;&gt;0)*(N$19:N$1010&lt;&gt;"F"))))),"")</f>
        <v/>
      </c>
      <c r="O9" s="47" t="str" cm="1">
        <f t="array" ref="O9">+IFERROR(_xlfn.CONCAT(_xlfn.UNIQUE(_xlfn._xlws.FILTER(O$19:O$1010,(($A$19:$A$1010=$A9)*(O$19:O$1010&lt;&gt;0)*(O$19:O$1010&lt;&gt;"F"))))),"")</f>
        <v/>
      </c>
      <c r="P9" s="45" t="str" cm="1">
        <f t="array" ref="P9">+IFERROR(_xlfn.CONCAT(_xlfn.UNIQUE(_xlfn._xlws.FILTER(P$19:P$1010,(($A$19:$A$1010=$A9)*(P$19:P$1010&lt;&gt;0)*(P$19:P$1010&lt;&gt;"F"))))),"")</f>
        <v/>
      </c>
      <c r="Q9" s="46" t="str" cm="1">
        <f t="array" ref="Q9">+IFERROR(_xlfn.CONCAT(_xlfn.UNIQUE(_xlfn._xlws.FILTER(Q$19:Q$1010,(($A$19:$A$1010=$A9)*(Q$19:Q$1010&lt;&gt;0)*(Q$19:Q$1010&lt;&gt;"F"))))),"")</f>
        <v/>
      </c>
      <c r="R9" s="46" t="str" cm="1">
        <f t="array" ref="R9">+IFERROR(_xlfn.CONCAT(_xlfn.UNIQUE(_xlfn._xlws.FILTER(R$19:R$1010,(($A$19:$A$1010=$A9)*(R$19:R$1010&lt;&gt;0)*(R$19:R$1010&lt;&gt;"F"))))),"")</f>
        <v/>
      </c>
      <c r="S9" s="47" t="str" cm="1">
        <f t="array" ref="S9">+IFERROR(_xlfn.CONCAT(_xlfn.UNIQUE(_xlfn._xlws.FILTER(S$19:S$1010,(($A$19:$A$1010=$A9)*(S$19:S$1010&lt;&gt;0)*(S$19:S$1010&lt;&gt;"F"))))),"")</f>
        <v/>
      </c>
      <c r="T9" s="45" t="str" cm="1">
        <f t="array" ref="T9">+IFERROR(_xlfn.CONCAT(_xlfn.UNIQUE(_xlfn._xlws.FILTER(T$19:T$1010,(($A$19:$A$1010=$A9)*(T$19:T$1010&lt;&gt;0)*(T$19:T$1010&lt;&gt;"F"))))),"")</f>
        <v/>
      </c>
      <c r="U9" s="46" t="str" cm="1">
        <f t="array" ref="U9">+IFERROR(_xlfn.CONCAT(_xlfn.UNIQUE(_xlfn._xlws.FILTER(U$19:U$1010,(($A$19:$A$1010=$A9)*(U$19:U$1010&lt;&gt;0)*(U$19:U$1010&lt;&gt;"F"))))),"")</f>
        <v/>
      </c>
      <c r="V9" s="46" t="str" cm="1">
        <f t="array" ref="V9">+IFERROR(_xlfn.CONCAT(_xlfn.UNIQUE(_xlfn._xlws.FILTER(V$19:V$1010,(($A$19:$A$1010=$A9)*(V$19:V$1010&lt;&gt;0)*(V$19:V$1010&lt;&gt;"F"))))),"")</f>
        <v/>
      </c>
      <c r="W9" s="46" t="str" cm="1">
        <f t="array" ref="W9">+IFERROR(_xlfn.CONCAT(_xlfn.UNIQUE(_xlfn._xlws.FILTER(W$19:W$1010,(($A$19:$A$1010=$A9)*(W$19:W$1010&lt;&gt;0)*(W$19:W$1010&lt;&gt;"F"))))),"")</f>
        <v/>
      </c>
      <c r="X9" s="47" t="str" cm="1">
        <f t="array" ref="X9">+IFERROR(_xlfn.CONCAT(_xlfn.UNIQUE(_xlfn._xlws.FILTER(X$19:X$1010,(($A$19:$A$1010=$A9)*(X$19:X$1010&lt;&gt;0)*(X$19:X$1010&lt;&gt;"F"))))),"")</f>
        <v/>
      </c>
      <c r="Y9" s="45" t="str" cm="1">
        <f t="array" ref="Y9">+IFERROR(_xlfn.CONCAT(_xlfn.UNIQUE(_xlfn._xlws.FILTER(Y$19:Y$1010,(($A$19:$A$1010=$A9)*(Y$19:Y$1010&lt;&gt;0)*(Y$19:Y$1010&lt;&gt;"F"))))),"")</f>
        <v/>
      </c>
      <c r="Z9" s="46" t="str" cm="1">
        <f t="array" ref="Z9">+IFERROR(_xlfn.CONCAT(_xlfn.UNIQUE(_xlfn._xlws.FILTER(Z$19:Z$1010,(($A$19:$A$1010=$A9)*(Z$19:Z$1010&lt;&gt;0)*(Z$19:Z$1010&lt;&gt;"F"))))),"")</f>
        <v/>
      </c>
      <c r="AA9" s="46" t="str" cm="1">
        <f t="array" ref="AA9">+IFERROR(_xlfn.CONCAT(_xlfn.UNIQUE(_xlfn._xlws.FILTER(AA$19:AA$1010,(($A$19:$A$1010=$A9)*(AA$19:AA$1010&lt;&gt;0)*(AA$19:AA$1010&lt;&gt;"F"))))),"")</f>
        <v/>
      </c>
      <c r="AB9" s="47" t="str" cm="1">
        <f t="array" ref="AB9">+IFERROR(_xlfn.CONCAT(_xlfn.UNIQUE(_xlfn._xlws.FILTER(AB$19:AB$1010,(($A$19:$A$1010=$A9)*(AB$19:AB$1010&lt;&gt;0)*(AB$19:AB$1010&lt;&gt;"F"))))),"")</f>
        <v/>
      </c>
      <c r="AC9" s="45" t="str" cm="1">
        <f t="array" ref="AC9">+IFERROR(_xlfn.CONCAT(_xlfn.UNIQUE(_xlfn._xlws.FILTER(AC$19:AC$1010,(($A$19:$A$1010=$A9)*(AC$19:AC$1010&lt;&gt;0)*(AC$19:AC$1010&lt;&gt;"F"))))),"")</f>
        <v/>
      </c>
      <c r="AD9" s="46" t="str" cm="1">
        <f t="array" ref="AD9">+IFERROR(_xlfn.CONCAT(_xlfn.UNIQUE(_xlfn._xlws.FILTER(AD$19:AD$1010,(($A$19:$A$1010=$A9)*(AD$19:AD$1010&lt;&gt;0)*(AD$19:AD$1010&lt;&gt;"F"))))),"")</f>
        <v/>
      </c>
      <c r="AE9" s="46" t="str" cm="1">
        <f t="array" ref="AE9">+IFERROR(_xlfn.CONCAT(_xlfn.UNIQUE(_xlfn._xlws.FILTER(AE$19:AE$1010,(($A$19:$A$1010=$A9)*(AE$19:AE$1010&lt;&gt;0)*(AE$19:AE$1010&lt;&gt;"F"))))),"")</f>
        <v/>
      </c>
      <c r="AF9" s="47" t="str" cm="1">
        <f t="array" ref="AF9">+IFERROR(_xlfn.CONCAT(_xlfn.UNIQUE(_xlfn._xlws.FILTER(AF$19:AF$1010,(($A$19:$A$1010=$A9)*(AF$19:AF$1010&lt;&gt;0)*(AF$19:AF$1010&lt;&gt;"F"))))),"")</f>
        <v/>
      </c>
      <c r="AG9" s="45" t="str" cm="1">
        <f t="array" ref="AG9">+IFERROR(_xlfn.CONCAT(_xlfn.UNIQUE(_xlfn._xlws.FILTER(AG$19:AG$1010,(($A$19:$A$1010=$A9)*(AG$19:AG$1010&lt;&gt;0)*(AG$19:AG$1010&lt;&gt;"F"))))),"")</f>
        <v>IN</v>
      </c>
      <c r="AH9" s="46" t="str" cm="1">
        <f t="array" ref="AH9">+IFERROR(_xlfn.CONCAT(_xlfn.UNIQUE(_xlfn._xlws.FILTER(AH$19:AH$1010,(($A$19:$A$1010=$A9)*(AH$19:AH$1010&lt;&gt;0)*(AH$19:AH$1010&lt;&gt;"F"))))),"")</f>
        <v>ES</v>
      </c>
      <c r="AI9" s="46" t="str" cm="1">
        <f t="array" ref="AI9">+IFERROR(_xlfn.CONCAT(_xlfn.UNIQUE(_xlfn._xlws.FILTER(AI$19:AI$1010,(($A$19:$A$1010=$A9)*(AI$19:AI$1010&lt;&gt;0)*(AI$19:AI$1010&lt;&gt;"F"))))),"")</f>
        <v>ES</v>
      </c>
      <c r="AJ9" s="46" t="str" cm="1">
        <f t="array" ref="AJ9">+IFERROR(_xlfn.CONCAT(_xlfn.UNIQUE(_xlfn._xlws.FILTER(AJ$19:AJ$1010,(($A$19:$A$1010=$A9)*(AJ$19:AJ$1010&lt;&gt;0)*(AJ$19:AJ$1010&lt;&gt;"F"))))),"")</f>
        <v>ES</v>
      </c>
      <c r="AK9" s="47" t="str" cm="1">
        <f t="array" ref="AK9">+IFERROR(_xlfn.CONCAT(_xlfn.UNIQUE(_xlfn._xlws.FILTER(AK$19:AK$1010,(($A$19:$A$1010=$A9)*(AK$19:AK$1010&lt;&gt;0)*(AK$19:AK$1010&lt;&gt;"F"))))),"")</f>
        <v>ES</v>
      </c>
      <c r="AL9" s="45" t="str" cm="1">
        <f t="array" ref="AL9">+IFERROR(_xlfn.CONCAT(_xlfn.UNIQUE(_xlfn._xlws.FILTER(AL$19:AL$1010,(($A$19:$A$1010=$A9)*(AL$19:AL$1010&lt;&gt;0)*(AL$19:AL$1010&lt;&gt;"F"))))),"")</f>
        <v>PL</v>
      </c>
      <c r="AM9" s="46" t="str" cm="1">
        <f t="array" ref="AM9">+IFERROR(_xlfn.CONCAT(_xlfn.UNIQUE(_xlfn._xlws.FILTER(AM$19:AM$1010,(($A$19:$A$1010=$A9)*(AM$19:AM$1010&lt;&gt;0)*(AM$19:AM$1010&lt;&gt;"F"))))),"")</f>
        <v>DE</v>
      </c>
      <c r="AN9" s="46" t="str" cm="1">
        <f t="array" ref="AN9">+IFERROR(_xlfn.CONCAT(_xlfn.UNIQUE(_xlfn._xlws.FILTER(AN$19:AN$1010,(($A$19:$A$1010=$A9)*(AN$19:AN$1010&lt;&gt;0)*(AN$19:AN$1010&lt;&gt;"F"))))),"")</f>
        <v>DE</v>
      </c>
      <c r="AO9" s="47" t="str" cm="1">
        <f t="array" ref="AO9">+IFERROR(_xlfn.CONCAT(_xlfn.UNIQUE(_xlfn._xlws.FILTER(AO$19:AO$1010,(($A$19:$A$1010=$A9)*(AO$19:AO$1010&lt;&gt;0)*(AO$19:AO$1010&lt;&gt;"F"))))),"")</f>
        <v>DE</v>
      </c>
      <c r="AP9" s="45" t="str" cm="1">
        <f t="array" ref="AP9">+IFERROR(_xlfn.CONCAT(_xlfn.UNIQUE(_xlfn._xlws.FILTER(AP$19:AP$1010,(($A$19:$A$1010=$A9)*(AP$19:AP$1010&lt;&gt;0)*(AP$19:AP$1010&lt;&gt;"F"))))),"")</f>
        <v>DE</v>
      </c>
      <c r="AQ9" s="46" t="str" cm="1">
        <f t="array" ref="AQ9">+IFERROR(_xlfn.CONCAT(_xlfn.UNIQUE(_xlfn._xlws.FILTER(AQ$19:AQ$1010,(($A$19:$A$1010=$A9)*(AQ$19:AQ$1010&lt;&gt;0)*(AQ$19:AQ$1010&lt;&gt;"F"))))),"")</f>
        <v>DE</v>
      </c>
      <c r="AR9" s="46" t="str" cm="1">
        <f t="array" ref="AR9">+IFERROR(_xlfn.CONCAT(_xlfn.UNIQUE(_xlfn._xlws.FILTER(AR$19:AR$1010,(($A$19:$A$1010=$A9)*(AR$19:AR$1010&lt;&gt;0)*(AR$19:AR$1010&lt;&gt;"F"))))),"")</f>
        <v>DE</v>
      </c>
      <c r="AS9" s="47" t="str" cm="1">
        <f t="array" ref="AS9">+IFERROR(_xlfn.CONCAT(_xlfn.UNIQUE(_xlfn._xlws.FILTER(AS$19:AS$1010,(($A$19:$A$1010=$A9)*(AS$19:AS$1010&lt;&gt;0)*(AS$19:AS$1010&lt;&gt;"F"))))),"")</f>
        <v>DE</v>
      </c>
      <c r="AT9" s="45" t="str" cm="1">
        <f t="array" ref="AT9">+IFERROR(_xlfn.CONCAT(_xlfn.UNIQUE(_xlfn._xlws.FILTER(AT$19:AT$1010,(($A$19:$A$1010=$A9)*(AT$19:AT$1010&lt;&gt;0)*(AT$19:AT$1010&lt;&gt;"F"))))),"")</f>
        <v>DE</v>
      </c>
      <c r="AU9" s="46" t="str" cm="1">
        <f t="array" ref="AU9">+IFERROR(_xlfn.CONCAT(_xlfn.UNIQUE(_xlfn._xlws.FILTER(AU$19:AU$1010,(($A$19:$A$1010=$A9)*(AU$19:AU$1010&lt;&gt;0)*(AU$19:AU$1010&lt;&gt;"F"))))),"")</f>
        <v>DE</v>
      </c>
      <c r="AV9" s="46" t="str" cm="1">
        <f t="array" ref="AV9">+IFERROR(_xlfn.CONCAT(_xlfn.UNIQUE(_xlfn._xlws.FILTER(AV$19:AV$1010,(($A$19:$A$1010=$A9)*(AV$19:AV$1010&lt;&gt;0)*(AV$19:AV$1010&lt;&gt;"F"))))),"")</f>
        <v>DE</v>
      </c>
      <c r="AW9" s="46" t="str" cm="1">
        <f t="array" ref="AW9">+IFERROR(_xlfn.CONCAT(_xlfn.UNIQUE(_xlfn._xlws.FILTER(AW$19:AW$1010,(($A$19:$A$1010=$A9)*(AW$19:AW$1010&lt;&gt;0)*(AW$19:AW$1010&lt;&gt;"F"))))),"")</f>
        <v>DE</v>
      </c>
      <c r="AX9" s="47" t="str" cm="1">
        <f t="array" ref="AX9">+IFERROR(_xlfn.CONCAT(_xlfn.UNIQUE(_xlfn._xlws.FILTER(AX$19:AX$1010,(($A$19:$A$1010=$A9)*(AX$19:AX$1010&lt;&gt;0)*(AX$19:AX$1010&lt;&gt;"F"))))),"")</f>
        <v>DE</v>
      </c>
      <c r="AY9" s="45" t="str" cm="1">
        <f t="array" ref="AY9">+IFERROR(_xlfn.CONCAT(_xlfn.UNIQUE(_xlfn._xlws.FILTER(AY$19:AY$1010,(($A$19:$A$1010=$A9)*(AY$19:AY$1010&lt;&gt;0)*(AY$19:AY$1010&lt;&gt;"F"))))),"")</f>
        <v>DE</v>
      </c>
      <c r="AZ9" s="46" t="str" cm="1">
        <f t="array" ref="AZ9">+IFERROR(_xlfn.CONCAT(_xlfn.UNIQUE(_xlfn._xlws.FILTER(AZ$19:AZ$1010,(($A$19:$A$1010=$A9)*(AZ$19:AZ$1010&lt;&gt;0)*(AZ$19:AZ$1010&lt;&gt;"F"))))),"")</f>
        <v>DE</v>
      </c>
      <c r="BA9" s="46" t="str" cm="1">
        <f t="array" ref="BA9">+IFERROR(_xlfn.CONCAT(_xlfn.UNIQUE(_xlfn._xlws.FILTER(BA$19:BA$1010,(($A$19:$A$1010=$A9)*(BA$19:BA$1010&lt;&gt;0)*(BA$19:BA$1010&lt;&gt;"F"))))),"")</f>
        <v>DE</v>
      </c>
      <c r="BB9" s="47" t="str" cm="1">
        <f t="array" ref="BB9">+IFERROR(_xlfn.CONCAT(_xlfn.UNIQUE(_xlfn._xlws.FILTER(BB$19:BB$1010,(($A$19:$A$1010=$A9)*(BB$19:BB$1010&lt;&gt;0)*(BB$19:BB$1010&lt;&gt;"F"))))),"")</f>
        <v>DE</v>
      </c>
      <c r="BC9" s="45" t="str" cm="1">
        <f t="array" ref="BC9">+IFERROR(_xlfn.CONCAT(_xlfn.UNIQUE(_xlfn._xlws.FILTER(BC$19:BC$1010,(($A$19:$A$1010=$A9)*(BC$19:BC$1010&lt;&gt;0)*(BC$19:BC$1010&lt;&gt;"F"))))),"")</f>
        <v>QA</v>
      </c>
      <c r="BD9" s="46" t="str" cm="1">
        <f t="array" ref="BD9">+IFERROR(_xlfn.CONCAT(_xlfn.UNIQUE(_xlfn._xlws.FILTER(BD$19:BD$1010,(($A$19:$A$1010=$A9)*(BD$19:BD$1010&lt;&gt;0)*(BD$19:BD$1010&lt;&gt;"F"))))),"")</f>
        <v>HO</v>
      </c>
      <c r="BE9" s="46" t="str" cm="1">
        <f t="array" ref="BE9">+IFERROR(_xlfn.CONCAT(_xlfn.UNIQUE(_xlfn._xlws.FILTER(BE$19:BE$1010,(($A$19:$A$1010=$A9)*(BE$19:BE$1010&lt;&gt;0)*(BE$19:BE$1010&lt;&gt;"F"))))),"")</f>
        <v>HO</v>
      </c>
      <c r="BF9" s="47" t="str" cm="1">
        <f t="array" ref="BF9">+IFERROR(_xlfn.CONCAT(_xlfn.UNIQUE(_xlfn._xlws.FILTER(BF$19:BF$1010,(($A$19:$A$1010=$A9)*(BF$19:BF$1010&lt;&gt;0)*(BF$19:BF$1010&lt;&gt;"F"))))),"")</f>
        <v>HO</v>
      </c>
      <c r="BG9" s="45" t="str" cm="1">
        <f t="array" ref="BG9">+IFERROR(_xlfn.CONCAT(_xlfn.UNIQUE(_xlfn._xlws.FILTER(BG$19:BG$1010,(($A$19:$A$1010=$A9)*(BG$19:BG$1010&lt;&gt;0)*(BG$19:BG$1010&lt;&gt;"F"))))),"")</f>
        <v>OA</v>
      </c>
      <c r="BH9" s="46" t="str" cm="1">
        <f t="array" ref="BH9">+IFERROR(_xlfn.CONCAT(_xlfn.UNIQUE(_xlfn._xlws.FILTER(BH$19:BH$1010,(($A$19:$A$1010=$A9)*(BH$19:BH$1010&lt;&gt;0)*(BH$19:BH$1010&lt;&gt;"F"))))),"")</f>
        <v>OA</v>
      </c>
      <c r="BI9" s="46" t="str" cm="1">
        <f t="array" ref="BI9">+IFERROR(_xlfn.CONCAT(_xlfn.UNIQUE(_xlfn._xlws.FILTER(BI$19:BI$1010,(($A$19:$A$1010=$A9)*(BI$19:BI$1010&lt;&gt;0)*(BI$19:BI$1010&lt;&gt;"F"))))),"")</f>
        <v>OA</v>
      </c>
      <c r="BJ9" s="46" t="str" cm="1">
        <f t="array" ref="BJ9">+IFERROR(_xlfn.CONCAT(_xlfn.UNIQUE(_xlfn._xlws.FILTER(BJ$19:BJ$1010,(($A$19:$A$1010=$A9)*(BJ$19:BJ$1010&lt;&gt;0)*(BJ$19:BJ$1010&lt;&gt;"F"))))),"")</f>
        <v>OA</v>
      </c>
      <c r="BK9" s="47" t="str" cm="1">
        <f t="array" ref="BK9">+IFERROR(_xlfn.CONCAT(_xlfn.UNIQUE(_xlfn._xlws.FILTER(BK$19:BK$1010,(($A$19:$A$1010=$A9)*(BK$19:BK$1010&lt;&gt;0)*(BK$19:BK$1010&lt;&gt;"F"))))),"")</f>
        <v>EN</v>
      </c>
      <c r="BL9" s="45" t="str" cm="1">
        <f t="array" ref="BL9">+IFERROR(_xlfn.CONCAT(_xlfn.UNIQUE(_xlfn._xlws.FILTER(BL$19:BL$1010,(($A$19:$A$1010=$A9)*(BL$19:BL$1010&lt;&gt;0)*(BL$19:BL$1010&lt;&gt;"F"))))),"")</f>
        <v/>
      </c>
      <c r="BM9" s="46" t="str" cm="1">
        <f t="array" ref="BM9">+IFERROR(_xlfn.CONCAT(_xlfn.UNIQUE(_xlfn._xlws.FILTER(BM$19:BM$1010,(($A$19:$A$1010=$A9)*(BM$19:BM$1010&lt;&gt;0)*(BM$19:BM$1010&lt;&gt;"F"))))),"")</f>
        <v/>
      </c>
      <c r="BN9" s="46" t="str" cm="1">
        <f t="array" ref="BN9">+IFERROR(_xlfn.CONCAT(_xlfn.UNIQUE(_xlfn._xlws.FILTER(BN$19:BN$1010,(($A$19:$A$1010=$A9)*(BN$19:BN$1010&lt;&gt;0)*(BN$19:BN$1010&lt;&gt;"F"))))),"")</f>
        <v/>
      </c>
      <c r="BO9" s="47" t="str" cm="1">
        <f t="array" ref="BO9">+IFERROR(_xlfn.CONCAT(_xlfn.UNIQUE(_xlfn._xlws.FILTER(BO$19:BO$1010,(($A$19:$A$1010=$A9)*(BO$19:BO$1010&lt;&gt;0)*(BO$19:BO$1010&lt;&gt;"F"))))),"")</f>
        <v/>
      </c>
      <c r="BP9" s="45" t="str" cm="1">
        <f t="array" ref="BP9">+IFERROR(_xlfn.CONCAT(_xlfn.UNIQUE(_xlfn._xlws.FILTER(BP$19:BP$1010,(($A$19:$A$1010=$A9)*(BP$19:BP$1010&lt;&gt;0)*(BP$19:BP$1010&lt;&gt;"F"))))),"")</f>
        <v/>
      </c>
      <c r="BQ9" s="46" t="str" cm="1">
        <f t="array" ref="BQ9">+IFERROR(_xlfn.CONCAT(_xlfn.UNIQUE(_xlfn._xlws.FILTER(BQ$19:BQ$1010,(($A$19:$A$1010=$A9)*(BQ$19:BQ$1010&lt;&gt;0)*(BQ$19:BQ$1010&lt;&gt;"F"))))),"")</f>
        <v/>
      </c>
      <c r="BR9" s="46" t="str" cm="1">
        <f t="array" ref="BR9">+IFERROR(_xlfn.CONCAT(_xlfn.UNIQUE(_xlfn._xlws.FILTER(BR$19:BR$1010,(($A$19:$A$1010=$A9)*(BR$19:BR$1010&lt;&gt;0)*(BR$19:BR$1010&lt;&gt;"F"))))),"")</f>
        <v/>
      </c>
      <c r="BS9" s="47" t="str" cm="1">
        <f t="array" ref="BS9">+IFERROR(_xlfn.CONCAT(_xlfn.UNIQUE(_xlfn._xlws.FILTER(BS$19:BS$1010,(($A$19:$A$1010=$A9)*(BS$19:BS$1010&lt;&gt;0)*(BS$19:BS$1010&lt;&gt;"F"))))),"")</f>
        <v/>
      </c>
    </row>
    <row r="10" spans="1:71" s="13" customFormat="1" ht="39.9" customHeight="1" x14ac:dyDescent="0.3">
      <c r="A10" s="57" t="str">
        <v>IMPLANTACAO DO SISTEMA DE TORRE DE MONITORAMENTO - FASE 2</v>
      </c>
      <c r="B10" s="27"/>
      <c r="C10" s="28">
        <v>6900000</v>
      </c>
      <c r="D10" s="29" t="str">
        <v>Implantação</v>
      </c>
      <c r="E10" s="29" t="str">
        <v>Implantação Sistema Terceiro</v>
      </c>
      <c r="F10" s="29" t="str">
        <v>Alta</v>
      </c>
      <c r="G10" s="45" t="str" cm="1">
        <f t="array" ref="G10">+IFERROR(_xlfn.CONCAT(_xlfn.UNIQUE(_xlfn._xlws.FILTER(G$19:G$1010,(($A$19:$A$1010=$A10)*(G$19:G$1010&lt;&gt;0)*(G$19:G$1010&lt;&gt;"F"))))),"")</f>
        <v/>
      </c>
      <c r="H10" s="46" t="str" cm="1">
        <f t="array" ref="H10">+IFERROR(_xlfn.CONCAT(_xlfn.UNIQUE(_xlfn._xlws.FILTER(H$19:H$1010,(($A$19:$A$1010=$A10)*(H$19:H$1010&lt;&gt;0)*(H$19:H$1010&lt;&gt;"F"))))),"")</f>
        <v/>
      </c>
      <c r="I10" s="46" t="str" cm="1">
        <f t="array" ref="I10">+IFERROR(_xlfn.CONCAT(_xlfn.UNIQUE(_xlfn._xlws.FILTER(I$19:I$1010,(($A$19:$A$1010=$A10)*(I$19:I$1010&lt;&gt;0)*(I$19:I$1010&lt;&gt;"F"))))),"")</f>
        <v/>
      </c>
      <c r="J10" s="46" t="str" cm="1">
        <f t="array" ref="J10">+IFERROR(_xlfn.CONCAT(_xlfn.UNIQUE(_xlfn._xlws.FILTER(J$19:J$1010,(($A$19:$A$1010=$A10)*(J$19:J$1010&lt;&gt;0)*(J$19:J$1010&lt;&gt;"F"))))),"")</f>
        <v/>
      </c>
      <c r="K10" s="47" t="str" cm="1">
        <f t="array" ref="K10">+IFERROR(_xlfn.CONCAT(_xlfn.UNIQUE(_xlfn._xlws.FILTER(K$19:K$1010,(($A$19:$A$1010=$A10)*(K$19:K$1010&lt;&gt;0)*(K$19:K$1010&lt;&gt;"F"))))),"")</f>
        <v/>
      </c>
      <c r="L10" s="45" t="str" cm="1">
        <f t="array" ref="L10">+IFERROR(_xlfn.CONCAT(_xlfn.UNIQUE(_xlfn._xlws.FILTER(L$19:L$1010,(($A$19:$A$1010=$A10)*(L$19:L$1010&lt;&gt;0)*(L$19:L$1010&lt;&gt;"F"))))),"")</f>
        <v/>
      </c>
      <c r="M10" s="46" t="str" cm="1">
        <f t="array" ref="M10">+IFERROR(_xlfn.CONCAT(_xlfn.UNIQUE(_xlfn._xlws.FILTER(M$19:M$1010,(($A$19:$A$1010=$A10)*(M$19:M$1010&lt;&gt;0)*(M$19:M$1010&lt;&gt;"F"))))),"")</f>
        <v/>
      </c>
      <c r="N10" s="46" t="str" cm="1">
        <f t="array" ref="N10">+IFERROR(_xlfn.CONCAT(_xlfn.UNIQUE(_xlfn._xlws.FILTER(N$19:N$1010,(($A$19:$A$1010=$A10)*(N$19:N$1010&lt;&gt;0)*(N$19:N$1010&lt;&gt;"F"))))),"")</f>
        <v/>
      </c>
      <c r="O10" s="47" t="str" cm="1">
        <f t="array" ref="O10">+IFERROR(_xlfn.CONCAT(_xlfn.UNIQUE(_xlfn._xlws.FILTER(O$19:O$1010,(($A$19:$A$1010=$A10)*(O$19:O$1010&lt;&gt;0)*(O$19:O$1010&lt;&gt;"F"))))),"")</f>
        <v/>
      </c>
      <c r="P10" s="45" t="str" cm="1">
        <f t="array" ref="P10">+IFERROR(_xlfn.CONCAT(_xlfn.UNIQUE(_xlfn._xlws.FILTER(P$19:P$1010,(($A$19:$A$1010=$A10)*(P$19:P$1010&lt;&gt;0)*(P$19:P$1010&lt;&gt;"F"))))),"")</f>
        <v/>
      </c>
      <c r="Q10" s="46" t="str" cm="1">
        <f t="array" ref="Q10">+IFERROR(_xlfn.CONCAT(_xlfn.UNIQUE(_xlfn._xlws.FILTER(Q$19:Q$1010,(($A$19:$A$1010=$A10)*(Q$19:Q$1010&lt;&gt;0)*(Q$19:Q$1010&lt;&gt;"F"))))),"")</f>
        <v/>
      </c>
      <c r="R10" s="46" t="str" cm="1">
        <f t="array" ref="R10">+IFERROR(_xlfn.CONCAT(_xlfn.UNIQUE(_xlfn._xlws.FILTER(R$19:R$1010,(($A$19:$A$1010=$A10)*(R$19:R$1010&lt;&gt;0)*(R$19:R$1010&lt;&gt;"F"))))),"")</f>
        <v/>
      </c>
      <c r="S10" s="47" t="str" cm="1">
        <f t="array" ref="S10">+IFERROR(_xlfn.CONCAT(_xlfn.UNIQUE(_xlfn._xlws.FILTER(S$19:S$1010,(($A$19:$A$1010=$A10)*(S$19:S$1010&lt;&gt;0)*(S$19:S$1010&lt;&gt;"F"))))),"")</f>
        <v/>
      </c>
      <c r="T10" s="45" t="str" cm="1">
        <f t="array" ref="T10">+IFERROR(_xlfn.CONCAT(_xlfn.UNIQUE(_xlfn._xlws.FILTER(T$19:T$1010,(($A$19:$A$1010=$A10)*(T$19:T$1010&lt;&gt;0)*(T$19:T$1010&lt;&gt;"F"))))),"")</f>
        <v/>
      </c>
      <c r="U10" s="46" t="str" cm="1">
        <f t="array" ref="U10">+IFERROR(_xlfn.CONCAT(_xlfn.UNIQUE(_xlfn._xlws.FILTER(U$19:U$1010,(($A$19:$A$1010=$A10)*(U$19:U$1010&lt;&gt;0)*(U$19:U$1010&lt;&gt;"F"))))),"")</f>
        <v/>
      </c>
      <c r="V10" s="46" t="str" cm="1">
        <f t="array" ref="V10">+IFERROR(_xlfn.CONCAT(_xlfn.UNIQUE(_xlfn._xlws.FILTER(V$19:V$1010,(($A$19:$A$1010=$A10)*(V$19:V$1010&lt;&gt;0)*(V$19:V$1010&lt;&gt;"F"))))),"")</f>
        <v/>
      </c>
      <c r="W10" s="46" t="str" cm="1">
        <f t="array" ref="W10">+IFERROR(_xlfn.CONCAT(_xlfn.UNIQUE(_xlfn._xlws.FILTER(W$19:W$1010,(($A$19:$A$1010=$A10)*(W$19:W$1010&lt;&gt;0)*(W$19:W$1010&lt;&gt;"F"))))),"")</f>
        <v/>
      </c>
      <c r="X10" s="47" t="str" cm="1">
        <f t="array" ref="X10">+IFERROR(_xlfn.CONCAT(_xlfn.UNIQUE(_xlfn._xlws.FILTER(X$19:X$1010,(($A$19:$A$1010=$A10)*(X$19:X$1010&lt;&gt;0)*(X$19:X$1010&lt;&gt;"F"))))),"")</f>
        <v/>
      </c>
      <c r="Y10" s="45" t="str" cm="1">
        <f t="array" ref="Y10">+IFERROR(_xlfn.CONCAT(_xlfn.UNIQUE(_xlfn._xlws.FILTER(Y$19:Y$1010,(($A$19:$A$1010=$A10)*(Y$19:Y$1010&lt;&gt;0)*(Y$19:Y$1010&lt;&gt;"F"))))),"")</f>
        <v/>
      </c>
      <c r="Z10" s="46" t="str" cm="1">
        <f t="array" ref="Z10">+IFERROR(_xlfn.CONCAT(_xlfn.UNIQUE(_xlfn._xlws.FILTER(Z$19:Z$1010,(($A$19:$A$1010=$A10)*(Z$19:Z$1010&lt;&gt;0)*(Z$19:Z$1010&lt;&gt;"F"))))),"")</f>
        <v/>
      </c>
      <c r="AA10" s="46" t="str" cm="1">
        <f t="array" ref="AA10">+IFERROR(_xlfn.CONCAT(_xlfn.UNIQUE(_xlfn._xlws.FILTER(AA$19:AA$1010,(($A$19:$A$1010=$A10)*(AA$19:AA$1010&lt;&gt;0)*(AA$19:AA$1010&lt;&gt;"F"))))),"")</f>
        <v/>
      </c>
      <c r="AB10" s="47" t="str" cm="1">
        <f t="array" ref="AB10">+IFERROR(_xlfn.CONCAT(_xlfn.UNIQUE(_xlfn._xlws.FILTER(AB$19:AB$1010,(($A$19:$A$1010=$A10)*(AB$19:AB$1010&lt;&gt;0)*(AB$19:AB$1010&lt;&gt;"F"))))),"")</f>
        <v/>
      </c>
      <c r="AC10" s="45" t="str" cm="1">
        <f t="array" ref="AC10">+IFERROR(_xlfn.CONCAT(_xlfn.UNIQUE(_xlfn._xlws.FILTER(AC$19:AC$1010,(($A$19:$A$1010=$A10)*(AC$19:AC$1010&lt;&gt;0)*(AC$19:AC$1010&lt;&gt;"F"))))),"")</f>
        <v/>
      </c>
      <c r="AD10" s="46" t="str" cm="1">
        <f t="array" ref="AD10">+IFERROR(_xlfn.CONCAT(_xlfn.UNIQUE(_xlfn._xlws.FILTER(AD$19:AD$1010,(($A$19:$A$1010=$A10)*(AD$19:AD$1010&lt;&gt;0)*(AD$19:AD$1010&lt;&gt;"F"))))),"")</f>
        <v/>
      </c>
      <c r="AE10" s="46" t="str" cm="1">
        <f t="array" ref="AE10">+IFERROR(_xlfn.CONCAT(_xlfn.UNIQUE(_xlfn._xlws.FILTER(AE$19:AE$1010,(($A$19:$A$1010=$A10)*(AE$19:AE$1010&lt;&gt;0)*(AE$19:AE$1010&lt;&gt;"F"))))),"")</f>
        <v/>
      </c>
      <c r="AF10" s="47" t="str" cm="1">
        <f t="array" ref="AF10">+IFERROR(_xlfn.CONCAT(_xlfn.UNIQUE(_xlfn._xlws.FILTER(AF$19:AF$1010,(($A$19:$A$1010=$A10)*(AF$19:AF$1010&lt;&gt;0)*(AF$19:AF$1010&lt;&gt;"F"))))),"")</f>
        <v/>
      </c>
      <c r="AG10" s="45" t="str" cm="1">
        <f t="array" ref="AG10">+IFERROR(_xlfn.CONCAT(_xlfn.UNIQUE(_xlfn._xlws.FILTER(AG$19:AG$1010,(($A$19:$A$1010=$A10)*(AG$19:AG$1010&lt;&gt;0)*(AG$19:AG$1010&lt;&gt;"F"))))),"")</f>
        <v/>
      </c>
      <c r="AH10" s="46" t="str" cm="1">
        <f t="array" ref="AH10">+IFERROR(_xlfn.CONCAT(_xlfn.UNIQUE(_xlfn._xlws.FILTER(AH$19:AH$1010,(($A$19:$A$1010=$A10)*(AH$19:AH$1010&lt;&gt;0)*(AH$19:AH$1010&lt;&gt;"F"))))),"")</f>
        <v/>
      </c>
      <c r="AI10" s="46" t="str" cm="1">
        <f t="array" ref="AI10">+IFERROR(_xlfn.CONCAT(_xlfn.UNIQUE(_xlfn._xlws.FILTER(AI$19:AI$1010,(($A$19:$A$1010=$A10)*(AI$19:AI$1010&lt;&gt;0)*(AI$19:AI$1010&lt;&gt;"F"))))),"")</f>
        <v/>
      </c>
      <c r="AJ10" s="46" t="str" cm="1">
        <f t="array" ref="AJ10">+IFERROR(_xlfn.CONCAT(_xlfn.UNIQUE(_xlfn._xlws.FILTER(AJ$19:AJ$1010,(($A$19:$A$1010=$A10)*(AJ$19:AJ$1010&lt;&gt;0)*(AJ$19:AJ$1010&lt;&gt;"F"))))),"")</f>
        <v/>
      </c>
      <c r="AK10" s="47" t="str" cm="1">
        <f t="array" ref="AK10">+IFERROR(_xlfn.CONCAT(_xlfn.UNIQUE(_xlfn._xlws.FILTER(AK$19:AK$1010,(($A$19:$A$1010=$A10)*(AK$19:AK$1010&lt;&gt;0)*(AK$19:AK$1010&lt;&gt;"F"))))),"")</f>
        <v/>
      </c>
      <c r="AL10" s="45" t="str" cm="1">
        <f t="array" ref="AL10">+IFERROR(_xlfn.CONCAT(_xlfn.UNIQUE(_xlfn._xlws.FILTER(AL$19:AL$1010,(($A$19:$A$1010=$A10)*(AL$19:AL$1010&lt;&gt;0)*(AL$19:AL$1010&lt;&gt;"F"))))),"")</f>
        <v/>
      </c>
      <c r="AM10" s="46" t="str" cm="1">
        <f t="array" ref="AM10">+IFERROR(_xlfn.CONCAT(_xlfn.UNIQUE(_xlfn._xlws.FILTER(AM$19:AM$1010,(($A$19:$A$1010=$A10)*(AM$19:AM$1010&lt;&gt;0)*(AM$19:AM$1010&lt;&gt;"F"))))),"")</f>
        <v/>
      </c>
      <c r="AN10" s="46" t="str" cm="1">
        <f t="array" ref="AN10">+IFERROR(_xlfn.CONCAT(_xlfn.UNIQUE(_xlfn._xlws.FILTER(AN$19:AN$1010,(($A$19:$A$1010=$A10)*(AN$19:AN$1010&lt;&gt;0)*(AN$19:AN$1010&lt;&gt;"F"))))),"")</f>
        <v/>
      </c>
      <c r="AO10" s="47" t="str" cm="1">
        <f t="array" ref="AO10">+IFERROR(_xlfn.CONCAT(_xlfn.UNIQUE(_xlfn._xlws.FILTER(AO$19:AO$1010,(($A$19:$A$1010=$A10)*(AO$19:AO$1010&lt;&gt;0)*(AO$19:AO$1010&lt;&gt;"F"))))),"")</f>
        <v/>
      </c>
      <c r="AP10" s="45" t="str" cm="1">
        <f t="array" ref="AP10">+IFERROR(_xlfn.CONCAT(_xlfn.UNIQUE(_xlfn._xlws.FILTER(AP$19:AP$1010,(($A$19:$A$1010=$A10)*(AP$19:AP$1010&lt;&gt;0)*(AP$19:AP$1010&lt;&gt;"F"))))),"")</f>
        <v/>
      </c>
      <c r="AQ10" s="46" t="str" cm="1">
        <f t="array" ref="AQ10">+IFERROR(_xlfn.CONCAT(_xlfn.UNIQUE(_xlfn._xlws.FILTER(AQ$19:AQ$1010,(($A$19:$A$1010=$A10)*(AQ$19:AQ$1010&lt;&gt;0)*(AQ$19:AQ$1010&lt;&gt;"F"))))),"")</f>
        <v/>
      </c>
      <c r="AR10" s="46" t="str" cm="1">
        <f t="array" ref="AR10">+IFERROR(_xlfn.CONCAT(_xlfn.UNIQUE(_xlfn._xlws.FILTER(AR$19:AR$1010,(($A$19:$A$1010=$A10)*(AR$19:AR$1010&lt;&gt;0)*(AR$19:AR$1010&lt;&gt;"F"))))),"")</f>
        <v/>
      </c>
      <c r="AS10" s="47" t="str" cm="1">
        <f t="array" ref="AS10">+IFERROR(_xlfn.CONCAT(_xlfn.UNIQUE(_xlfn._xlws.FILTER(AS$19:AS$1010,(($A$19:$A$1010=$A10)*(AS$19:AS$1010&lt;&gt;0)*(AS$19:AS$1010&lt;&gt;"F"))))),"")</f>
        <v/>
      </c>
      <c r="AT10" s="45" t="str" cm="1">
        <f t="array" ref="AT10">+IFERROR(_xlfn.CONCAT(_xlfn.UNIQUE(_xlfn._xlws.FILTER(AT$19:AT$1010,(($A$19:$A$1010=$A10)*(AT$19:AT$1010&lt;&gt;0)*(AT$19:AT$1010&lt;&gt;"F"))))),"")</f>
        <v/>
      </c>
      <c r="AU10" s="46" t="str" cm="1">
        <f t="array" ref="AU10">+IFERROR(_xlfn.CONCAT(_xlfn.UNIQUE(_xlfn._xlws.FILTER(AU$19:AU$1010,(($A$19:$A$1010=$A10)*(AU$19:AU$1010&lt;&gt;0)*(AU$19:AU$1010&lt;&gt;"F"))))),"")</f>
        <v/>
      </c>
      <c r="AV10" s="46" t="str" cm="1">
        <f t="array" ref="AV10">+IFERROR(_xlfn.CONCAT(_xlfn.UNIQUE(_xlfn._xlws.FILTER(AV$19:AV$1010,(($A$19:$A$1010=$A10)*(AV$19:AV$1010&lt;&gt;0)*(AV$19:AV$1010&lt;&gt;"F"))))),"")</f>
        <v/>
      </c>
      <c r="AW10" s="46" t="str" cm="1">
        <f t="array" ref="AW10">+IFERROR(_xlfn.CONCAT(_xlfn.UNIQUE(_xlfn._xlws.FILTER(AW$19:AW$1010,(($A$19:$A$1010=$A10)*(AW$19:AW$1010&lt;&gt;0)*(AW$19:AW$1010&lt;&gt;"F"))))),"")</f>
        <v/>
      </c>
      <c r="AX10" s="47" t="str" cm="1">
        <f t="array" ref="AX10">+IFERROR(_xlfn.CONCAT(_xlfn.UNIQUE(_xlfn._xlws.FILTER(AX$19:AX$1010,(($A$19:$A$1010=$A10)*(AX$19:AX$1010&lt;&gt;0)*(AX$19:AX$1010&lt;&gt;"F"))))),"")</f>
        <v/>
      </c>
      <c r="AY10" s="45" t="str" cm="1">
        <f t="array" ref="AY10">+IFERROR(_xlfn.CONCAT(_xlfn.UNIQUE(_xlfn._xlws.FILTER(AY$19:AY$1010,(($A$19:$A$1010=$A10)*(AY$19:AY$1010&lt;&gt;0)*(AY$19:AY$1010&lt;&gt;"F"))))),"")</f>
        <v/>
      </c>
      <c r="AZ10" s="46" t="str" cm="1">
        <f t="array" ref="AZ10">+IFERROR(_xlfn.CONCAT(_xlfn.UNIQUE(_xlfn._xlws.FILTER(AZ$19:AZ$1010,(($A$19:$A$1010=$A10)*(AZ$19:AZ$1010&lt;&gt;0)*(AZ$19:AZ$1010&lt;&gt;"F"))))),"")</f>
        <v/>
      </c>
      <c r="BA10" s="46" t="str" cm="1">
        <f t="array" ref="BA10">+IFERROR(_xlfn.CONCAT(_xlfn.UNIQUE(_xlfn._xlws.FILTER(BA$19:BA$1010,(($A$19:$A$1010=$A10)*(BA$19:BA$1010&lt;&gt;0)*(BA$19:BA$1010&lt;&gt;"F"))))),"")</f>
        <v/>
      </c>
      <c r="BB10" s="47" t="str" cm="1">
        <f t="array" ref="BB10">+IFERROR(_xlfn.CONCAT(_xlfn.UNIQUE(_xlfn._xlws.FILTER(BB$19:BB$1010,(($A$19:$A$1010=$A10)*(BB$19:BB$1010&lt;&gt;0)*(BB$19:BB$1010&lt;&gt;"F"))))),"")</f>
        <v/>
      </c>
      <c r="BC10" s="45" t="str" cm="1">
        <f t="array" ref="BC10">+IFERROR(_xlfn.CONCAT(_xlfn.UNIQUE(_xlfn._xlws.FILTER(BC$19:BC$1010,(($A$19:$A$1010=$A10)*(BC$19:BC$1010&lt;&gt;0)*(BC$19:BC$1010&lt;&gt;"F"))))),"")</f>
        <v/>
      </c>
      <c r="BD10" s="46" t="str" cm="1">
        <f t="array" ref="BD10">+IFERROR(_xlfn.CONCAT(_xlfn.UNIQUE(_xlfn._xlws.FILTER(BD$19:BD$1010,(($A$19:$A$1010=$A10)*(BD$19:BD$1010&lt;&gt;0)*(BD$19:BD$1010&lt;&gt;"F"))))),"")</f>
        <v/>
      </c>
      <c r="BE10" s="46" t="str" cm="1">
        <f t="array" ref="BE10">+IFERROR(_xlfn.CONCAT(_xlfn.UNIQUE(_xlfn._xlws.FILTER(BE$19:BE$1010,(($A$19:$A$1010=$A10)*(BE$19:BE$1010&lt;&gt;0)*(BE$19:BE$1010&lt;&gt;"F"))))),"")</f>
        <v/>
      </c>
      <c r="BF10" s="47" t="str" cm="1">
        <f t="array" ref="BF10">+IFERROR(_xlfn.CONCAT(_xlfn.UNIQUE(_xlfn._xlws.FILTER(BF$19:BF$1010,(($A$19:$A$1010=$A10)*(BF$19:BF$1010&lt;&gt;0)*(BF$19:BF$1010&lt;&gt;"F"))))),"")</f>
        <v/>
      </c>
      <c r="BG10" s="45" t="str" cm="1">
        <f t="array" ref="BG10">+IFERROR(_xlfn.CONCAT(_xlfn.UNIQUE(_xlfn._xlws.FILTER(BG$19:BG$1010,(($A$19:$A$1010=$A10)*(BG$19:BG$1010&lt;&gt;0)*(BG$19:BG$1010&lt;&gt;"F"))))),"")</f>
        <v/>
      </c>
      <c r="BH10" s="46" t="str" cm="1">
        <f t="array" ref="BH10">+IFERROR(_xlfn.CONCAT(_xlfn.UNIQUE(_xlfn._xlws.FILTER(BH$19:BH$1010,(($A$19:$A$1010=$A10)*(BH$19:BH$1010&lt;&gt;0)*(BH$19:BH$1010&lt;&gt;"F"))))),"")</f>
        <v/>
      </c>
      <c r="BI10" s="46" t="str" cm="1">
        <f t="array" ref="BI10">+IFERROR(_xlfn.CONCAT(_xlfn.UNIQUE(_xlfn._xlws.FILTER(BI$19:BI$1010,(($A$19:$A$1010=$A10)*(BI$19:BI$1010&lt;&gt;0)*(BI$19:BI$1010&lt;&gt;"F"))))),"")</f>
        <v/>
      </c>
      <c r="BJ10" s="46" t="str" cm="1">
        <f t="array" ref="BJ10">+IFERROR(_xlfn.CONCAT(_xlfn.UNIQUE(_xlfn._xlws.FILTER(BJ$19:BJ$1010,(($A$19:$A$1010=$A10)*(BJ$19:BJ$1010&lt;&gt;0)*(BJ$19:BJ$1010&lt;&gt;"F"))))),"")</f>
        <v/>
      </c>
      <c r="BK10" s="47" t="str" cm="1">
        <f t="array" ref="BK10">+IFERROR(_xlfn.CONCAT(_xlfn.UNIQUE(_xlfn._xlws.FILTER(BK$19:BK$1010,(($A$19:$A$1010=$A10)*(BK$19:BK$1010&lt;&gt;0)*(BK$19:BK$1010&lt;&gt;"F"))))),"")</f>
        <v/>
      </c>
      <c r="BL10" s="45" t="str" cm="1">
        <f t="array" ref="BL10">+IFERROR(_xlfn.CONCAT(_xlfn.UNIQUE(_xlfn._xlws.FILTER(BL$19:BL$1010,(($A$19:$A$1010=$A10)*(BL$19:BL$1010&lt;&gt;0)*(BL$19:BL$1010&lt;&gt;"F"))))),"")</f>
        <v/>
      </c>
      <c r="BM10" s="46" t="str" cm="1">
        <f t="array" ref="BM10">+IFERROR(_xlfn.CONCAT(_xlfn.UNIQUE(_xlfn._xlws.FILTER(BM$19:BM$1010,(($A$19:$A$1010=$A10)*(BM$19:BM$1010&lt;&gt;0)*(BM$19:BM$1010&lt;&gt;"F"))))),"")</f>
        <v/>
      </c>
      <c r="BN10" s="46" t="str" cm="1">
        <f t="array" ref="BN10">+IFERROR(_xlfn.CONCAT(_xlfn.UNIQUE(_xlfn._xlws.FILTER(BN$19:BN$1010,(($A$19:$A$1010=$A10)*(BN$19:BN$1010&lt;&gt;0)*(BN$19:BN$1010&lt;&gt;"F"))))),"")</f>
        <v/>
      </c>
      <c r="BO10" s="47" t="str" cm="1">
        <f t="array" ref="BO10">+IFERROR(_xlfn.CONCAT(_xlfn.UNIQUE(_xlfn._xlws.FILTER(BO$19:BO$1010,(($A$19:$A$1010=$A10)*(BO$19:BO$1010&lt;&gt;0)*(BO$19:BO$1010&lt;&gt;"F"))))),"")</f>
        <v/>
      </c>
      <c r="BP10" s="45" t="str" cm="1">
        <f t="array" ref="BP10">+IFERROR(_xlfn.CONCAT(_xlfn.UNIQUE(_xlfn._xlws.FILTER(BP$19:BP$1010,(($A$19:$A$1010=$A10)*(BP$19:BP$1010&lt;&gt;0)*(BP$19:BP$1010&lt;&gt;"F"))))),"")</f>
        <v/>
      </c>
      <c r="BQ10" s="46" t="str" cm="1">
        <f t="array" ref="BQ10">+IFERROR(_xlfn.CONCAT(_xlfn.UNIQUE(_xlfn._xlws.FILTER(BQ$19:BQ$1010,(($A$19:$A$1010=$A10)*(BQ$19:BQ$1010&lt;&gt;0)*(BQ$19:BQ$1010&lt;&gt;"F"))))),"")</f>
        <v/>
      </c>
      <c r="BR10" s="46" t="str" cm="1">
        <f t="array" ref="BR10">+IFERROR(_xlfn.CONCAT(_xlfn.UNIQUE(_xlfn._xlws.FILTER(BR$19:BR$1010,(($A$19:$A$1010=$A10)*(BR$19:BR$1010&lt;&gt;0)*(BR$19:BR$1010&lt;&gt;"F"))))),"")</f>
        <v/>
      </c>
      <c r="BS10" s="47" t="str" cm="1">
        <f t="array" ref="BS10">+IFERROR(_xlfn.CONCAT(_xlfn.UNIQUE(_xlfn._xlws.FILTER(BS$19:BS$1010,(($A$19:$A$1010=$A10)*(BS$19:BS$1010&lt;&gt;0)*(BS$19:BS$1010&lt;&gt;"F"))))),"")</f>
        <v/>
      </c>
    </row>
    <row r="11" spans="1:71" s="13" customFormat="1" ht="39.9" customHeight="1" x14ac:dyDescent="0.3">
      <c r="A11" s="57" t="str">
        <v>CENTRAL DE CADASTRO</v>
      </c>
      <c r="B11" s="27"/>
      <c r="C11" s="28">
        <v>0</v>
      </c>
      <c r="D11" s="29" t="str">
        <v>Melhoria de Processo</v>
      </c>
      <c r="E11" s="29" t="str">
        <v>Evolução, Melhoria ou Adequação</v>
      </c>
      <c r="F11" s="29" t="str">
        <v>Alta</v>
      </c>
      <c r="G11" s="45" t="str" cm="1">
        <f t="array" ref="G11">+IFERROR(_xlfn.CONCAT(_xlfn.UNIQUE(_xlfn._xlws.FILTER(G$19:G$1010,(($A$19:$A$1010=$A11)*(G$19:G$1010&lt;&gt;0)*(G$19:G$1010&lt;&gt;"F"))))),"")</f>
        <v/>
      </c>
      <c r="H11" s="46" t="str" cm="1">
        <f t="array" ref="H11">+IFERROR(_xlfn.CONCAT(_xlfn.UNIQUE(_xlfn._xlws.FILTER(H$19:H$1010,(($A$19:$A$1010=$A11)*(H$19:H$1010&lt;&gt;0)*(H$19:H$1010&lt;&gt;"F"))))),"")</f>
        <v/>
      </c>
      <c r="I11" s="46" t="str" cm="1">
        <f t="array" ref="I11">+IFERROR(_xlfn.CONCAT(_xlfn.UNIQUE(_xlfn._xlws.FILTER(I$19:I$1010,(($A$19:$A$1010=$A11)*(I$19:I$1010&lt;&gt;0)*(I$19:I$1010&lt;&gt;"F"))))),"")</f>
        <v/>
      </c>
      <c r="J11" s="46" t="str" cm="1">
        <f t="array" ref="J11">+IFERROR(_xlfn.CONCAT(_xlfn.UNIQUE(_xlfn._xlws.FILTER(J$19:J$1010,(($A$19:$A$1010=$A11)*(J$19:J$1010&lt;&gt;0)*(J$19:J$1010&lt;&gt;"F"))))),"")</f>
        <v/>
      </c>
      <c r="K11" s="47" t="str" cm="1">
        <f t="array" ref="K11">+IFERROR(_xlfn.CONCAT(_xlfn.UNIQUE(_xlfn._xlws.FILTER(K$19:K$1010,(($A$19:$A$1010=$A11)*(K$19:K$1010&lt;&gt;0)*(K$19:K$1010&lt;&gt;"F"))))),"")</f>
        <v/>
      </c>
      <c r="L11" s="45" t="str" cm="1">
        <f t="array" ref="L11">+IFERROR(_xlfn.CONCAT(_xlfn.UNIQUE(_xlfn._xlws.FILTER(L$19:L$1010,(($A$19:$A$1010=$A11)*(L$19:L$1010&lt;&gt;0)*(L$19:L$1010&lt;&gt;"F"))))),"")</f>
        <v/>
      </c>
      <c r="M11" s="46" t="str" cm="1">
        <f t="array" ref="M11">+IFERROR(_xlfn.CONCAT(_xlfn.UNIQUE(_xlfn._xlws.FILTER(M$19:M$1010,(($A$19:$A$1010=$A11)*(M$19:M$1010&lt;&gt;0)*(M$19:M$1010&lt;&gt;"F"))))),"")</f>
        <v/>
      </c>
      <c r="N11" s="46" t="str" cm="1">
        <f t="array" ref="N11">+IFERROR(_xlfn.CONCAT(_xlfn.UNIQUE(_xlfn._xlws.FILTER(N$19:N$1010,(($A$19:$A$1010=$A11)*(N$19:N$1010&lt;&gt;0)*(N$19:N$1010&lt;&gt;"F"))))),"")</f>
        <v/>
      </c>
      <c r="O11" s="47" t="str" cm="1">
        <f t="array" ref="O11">+IFERROR(_xlfn.CONCAT(_xlfn.UNIQUE(_xlfn._xlws.FILTER(O$19:O$1010,(($A$19:$A$1010=$A11)*(O$19:O$1010&lt;&gt;0)*(O$19:O$1010&lt;&gt;"F"))))),"")</f>
        <v/>
      </c>
      <c r="P11" s="45" t="str" cm="1">
        <f t="array" ref="P11">+IFERROR(_xlfn.CONCAT(_xlfn.UNIQUE(_xlfn._xlws.FILTER(P$19:P$1010,(($A$19:$A$1010=$A11)*(P$19:P$1010&lt;&gt;0)*(P$19:P$1010&lt;&gt;"F"))))),"")</f>
        <v/>
      </c>
      <c r="Q11" s="46" t="str" cm="1">
        <f t="array" ref="Q11">+IFERROR(_xlfn.CONCAT(_xlfn.UNIQUE(_xlfn._xlws.FILTER(Q$19:Q$1010,(($A$19:$A$1010=$A11)*(Q$19:Q$1010&lt;&gt;0)*(Q$19:Q$1010&lt;&gt;"F"))))),"")</f>
        <v/>
      </c>
      <c r="R11" s="46" t="str" cm="1">
        <f t="array" ref="R11">+IFERROR(_xlfn.CONCAT(_xlfn.UNIQUE(_xlfn._xlws.FILTER(R$19:R$1010,(($A$19:$A$1010=$A11)*(R$19:R$1010&lt;&gt;0)*(R$19:R$1010&lt;&gt;"F"))))),"")</f>
        <v/>
      </c>
      <c r="S11" s="47" t="str" cm="1">
        <f t="array" ref="S11">+IFERROR(_xlfn.CONCAT(_xlfn.UNIQUE(_xlfn._xlws.FILTER(S$19:S$1010,(($A$19:$A$1010=$A11)*(S$19:S$1010&lt;&gt;0)*(S$19:S$1010&lt;&gt;"F"))))),"")</f>
        <v/>
      </c>
      <c r="T11" s="45" t="str" cm="1">
        <f t="array" ref="T11">+IFERROR(_xlfn.CONCAT(_xlfn.UNIQUE(_xlfn._xlws.FILTER(T$19:T$1010,(($A$19:$A$1010=$A11)*(T$19:T$1010&lt;&gt;0)*(T$19:T$1010&lt;&gt;"F"))))),"")</f>
        <v/>
      </c>
      <c r="U11" s="46" t="str" cm="1">
        <f t="array" ref="U11">+IFERROR(_xlfn.CONCAT(_xlfn.UNIQUE(_xlfn._xlws.FILTER(U$19:U$1010,(($A$19:$A$1010=$A11)*(U$19:U$1010&lt;&gt;0)*(U$19:U$1010&lt;&gt;"F"))))),"")</f>
        <v/>
      </c>
      <c r="V11" s="46" t="str" cm="1">
        <f t="array" ref="V11">+IFERROR(_xlfn.CONCAT(_xlfn.UNIQUE(_xlfn._xlws.FILTER(V$19:V$1010,(($A$19:$A$1010=$A11)*(V$19:V$1010&lt;&gt;0)*(V$19:V$1010&lt;&gt;"F"))))),"")</f>
        <v/>
      </c>
      <c r="W11" s="46" t="str" cm="1">
        <f t="array" ref="W11">+IFERROR(_xlfn.CONCAT(_xlfn.UNIQUE(_xlfn._xlws.FILTER(W$19:W$1010,(($A$19:$A$1010=$A11)*(W$19:W$1010&lt;&gt;0)*(W$19:W$1010&lt;&gt;"F"))))),"")</f>
        <v/>
      </c>
      <c r="X11" s="47" t="str" cm="1">
        <f t="array" ref="X11">+IFERROR(_xlfn.CONCAT(_xlfn.UNIQUE(_xlfn._xlws.FILTER(X$19:X$1010,(($A$19:$A$1010=$A11)*(X$19:X$1010&lt;&gt;0)*(X$19:X$1010&lt;&gt;"F"))))),"")</f>
        <v/>
      </c>
      <c r="Y11" s="45" t="str" cm="1">
        <f t="array" ref="Y11">+IFERROR(_xlfn.CONCAT(_xlfn.UNIQUE(_xlfn._xlws.FILTER(Y$19:Y$1010,(($A$19:$A$1010=$A11)*(Y$19:Y$1010&lt;&gt;0)*(Y$19:Y$1010&lt;&gt;"F"))))),"")</f>
        <v/>
      </c>
      <c r="Z11" s="46" t="str" cm="1">
        <f t="array" ref="Z11">+IFERROR(_xlfn.CONCAT(_xlfn.UNIQUE(_xlfn._xlws.FILTER(Z$19:Z$1010,(($A$19:$A$1010=$A11)*(Z$19:Z$1010&lt;&gt;0)*(Z$19:Z$1010&lt;&gt;"F"))))),"")</f>
        <v/>
      </c>
      <c r="AA11" s="46" t="str" cm="1">
        <f t="array" ref="AA11">+IFERROR(_xlfn.CONCAT(_xlfn.UNIQUE(_xlfn._xlws.FILTER(AA$19:AA$1010,(($A$19:$A$1010=$A11)*(AA$19:AA$1010&lt;&gt;0)*(AA$19:AA$1010&lt;&gt;"F"))))),"")</f>
        <v/>
      </c>
      <c r="AB11" s="47" t="str" cm="1">
        <f t="array" ref="AB11">+IFERROR(_xlfn.CONCAT(_xlfn.UNIQUE(_xlfn._xlws.FILTER(AB$19:AB$1010,(($A$19:$A$1010=$A11)*(AB$19:AB$1010&lt;&gt;0)*(AB$19:AB$1010&lt;&gt;"F"))))),"")</f>
        <v/>
      </c>
      <c r="AC11" s="45" t="str" cm="1">
        <f t="array" ref="AC11">+IFERROR(_xlfn.CONCAT(_xlfn.UNIQUE(_xlfn._xlws.FILTER(AC$19:AC$1010,(($A$19:$A$1010=$A11)*(AC$19:AC$1010&lt;&gt;0)*(AC$19:AC$1010&lt;&gt;"F"))))),"")</f>
        <v/>
      </c>
      <c r="AD11" s="46" t="str" cm="1">
        <f t="array" ref="AD11">+IFERROR(_xlfn.CONCAT(_xlfn.UNIQUE(_xlfn._xlws.FILTER(AD$19:AD$1010,(($A$19:$A$1010=$A11)*(AD$19:AD$1010&lt;&gt;0)*(AD$19:AD$1010&lt;&gt;"F"))))),"")</f>
        <v/>
      </c>
      <c r="AE11" s="46" t="str" cm="1">
        <f t="array" ref="AE11">+IFERROR(_xlfn.CONCAT(_xlfn.UNIQUE(_xlfn._xlws.FILTER(AE$19:AE$1010,(($A$19:$A$1010=$A11)*(AE$19:AE$1010&lt;&gt;0)*(AE$19:AE$1010&lt;&gt;"F"))))),"")</f>
        <v/>
      </c>
      <c r="AF11" s="47" t="str" cm="1">
        <f t="array" ref="AF11">+IFERROR(_xlfn.CONCAT(_xlfn.UNIQUE(_xlfn._xlws.FILTER(AF$19:AF$1010,(($A$19:$A$1010=$A11)*(AF$19:AF$1010&lt;&gt;0)*(AF$19:AF$1010&lt;&gt;"F"))))),"")</f>
        <v/>
      </c>
      <c r="AG11" s="45" t="str" cm="1">
        <f t="array" ref="AG11">+IFERROR(_xlfn.CONCAT(_xlfn.UNIQUE(_xlfn._xlws.FILTER(AG$19:AG$1010,(($A$19:$A$1010=$A11)*(AG$19:AG$1010&lt;&gt;0)*(AG$19:AG$1010&lt;&gt;"F"))))),"")</f>
        <v/>
      </c>
      <c r="AH11" s="46" t="str" cm="1">
        <f t="array" ref="AH11">+IFERROR(_xlfn.CONCAT(_xlfn.UNIQUE(_xlfn._xlws.FILTER(AH$19:AH$1010,(($A$19:$A$1010=$A11)*(AH$19:AH$1010&lt;&gt;0)*(AH$19:AH$1010&lt;&gt;"F"))))),"")</f>
        <v/>
      </c>
      <c r="AI11" s="46" t="str" cm="1">
        <f t="array" ref="AI11">+IFERROR(_xlfn.CONCAT(_xlfn.UNIQUE(_xlfn._xlws.FILTER(AI$19:AI$1010,(($A$19:$A$1010=$A11)*(AI$19:AI$1010&lt;&gt;0)*(AI$19:AI$1010&lt;&gt;"F"))))),"")</f>
        <v/>
      </c>
      <c r="AJ11" s="46" t="str" cm="1">
        <f t="array" ref="AJ11">+IFERROR(_xlfn.CONCAT(_xlfn.UNIQUE(_xlfn._xlws.FILTER(AJ$19:AJ$1010,(($A$19:$A$1010=$A11)*(AJ$19:AJ$1010&lt;&gt;0)*(AJ$19:AJ$1010&lt;&gt;"F"))))),"")</f>
        <v/>
      </c>
      <c r="AK11" s="47" t="str" cm="1">
        <f t="array" ref="AK11">+IFERROR(_xlfn.CONCAT(_xlfn.UNIQUE(_xlfn._xlws.FILTER(AK$19:AK$1010,(($A$19:$A$1010=$A11)*(AK$19:AK$1010&lt;&gt;0)*(AK$19:AK$1010&lt;&gt;"F"))))),"")</f>
        <v/>
      </c>
      <c r="AL11" s="45" t="str" cm="1">
        <f t="array" ref="AL11">+IFERROR(_xlfn.CONCAT(_xlfn.UNIQUE(_xlfn._xlws.FILTER(AL$19:AL$1010,(($A$19:$A$1010=$A11)*(AL$19:AL$1010&lt;&gt;0)*(AL$19:AL$1010&lt;&gt;"F"))))),"")</f>
        <v/>
      </c>
      <c r="AM11" s="46" t="str" cm="1">
        <f t="array" ref="AM11">+IFERROR(_xlfn.CONCAT(_xlfn.UNIQUE(_xlfn._xlws.FILTER(AM$19:AM$1010,(($A$19:$A$1010=$A11)*(AM$19:AM$1010&lt;&gt;0)*(AM$19:AM$1010&lt;&gt;"F"))))),"")</f>
        <v/>
      </c>
      <c r="AN11" s="46" t="str" cm="1">
        <f t="array" ref="AN11">+IFERROR(_xlfn.CONCAT(_xlfn.UNIQUE(_xlfn._xlws.FILTER(AN$19:AN$1010,(($A$19:$A$1010=$A11)*(AN$19:AN$1010&lt;&gt;0)*(AN$19:AN$1010&lt;&gt;"F"))))),"")</f>
        <v/>
      </c>
      <c r="AO11" s="47" t="str" cm="1">
        <f t="array" ref="AO11">+IFERROR(_xlfn.CONCAT(_xlfn.UNIQUE(_xlfn._xlws.FILTER(AO$19:AO$1010,(($A$19:$A$1010=$A11)*(AO$19:AO$1010&lt;&gt;0)*(AO$19:AO$1010&lt;&gt;"F"))))),"")</f>
        <v/>
      </c>
      <c r="AP11" s="45" t="str" cm="1">
        <f t="array" ref="AP11">+IFERROR(_xlfn.CONCAT(_xlfn.UNIQUE(_xlfn._xlws.FILTER(AP$19:AP$1010,(($A$19:$A$1010=$A11)*(AP$19:AP$1010&lt;&gt;0)*(AP$19:AP$1010&lt;&gt;"F"))))),"")</f>
        <v/>
      </c>
      <c r="AQ11" s="46" t="str" cm="1">
        <f t="array" ref="AQ11">+IFERROR(_xlfn.CONCAT(_xlfn.UNIQUE(_xlfn._xlws.FILTER(AQ$19:AQ$1010,(($A$19:$A$1010=$A11)*(AQ$19:AQ$1010&lt;&gt;0)*(AQ$19:AQ$1010&lt;&gt;"F"))))),"")</f>
        <v/>
      </c>
      <c r="AR11" s="46" t="str" cm="1">
        <f t="array" ref="AR11">+IFERROR(_xlfn.CONCAT(_xlfn.UNIQUE(_xlfn._xlws.FILTER(AR$19:AR$1010,(($A$19:$A$1010=$A11)*(AR$19:AR$1010&lt;&gt;0)*(AR$19:AR$1010&lt;&gt;"F"))))),"")</f>
        <v/>
      </c>
      <c r="AS11" s="47" t="str" cm="1">
        <f t="array" ref="AS11">+IFERROR(_xlfn.CONCAT(_xlfn.UNIQUE(_xlfn._xlws.FILTER(AS$19:AS$1010,(($A$19:$A$1010=$A11)*(AS$19:AS$1010&lt;&gt;0)*(AS$19:AS$1010&lt;&gt;"F"))))),"")</f>
        <v/>
      </c>
      <c r="AT11" s="45" t="str" cm="1">
        <f t="array" ref="AT11">+IFERROR(_xlfn.CONCAT(_xlfn.UNIQUE(_xlfn._xlws.FILTER(AT$19:AT$1010,(($A$19:$A$1010=$A11)*(AT$19:AT$1010&lt;&gt;0)*(AT$19:AT$1010&lt;&gt;"F"))))),"")</f>
        <v/>
      </c>
      <c r="AU11" s="46" t="str" cm="1">
        <f t="array" ref="AU11">+IFERROR(_xlfn.CONCAT(_xlfn.UNIQUE(_xlfn._xlws.FILTER(AU$19:AU$1010,(($A$19:$A$1010=$A11)*(AU$19:AU$1010&lt;&gt;0)*(AU$19:AU$1010&lt;&gt;"F"))))),"")</f>
        <v/>
      </c>
      <c r="AV11" s="46" t="str" cm="1">
        <f t="array" ref="AV11">+IFERROR(_xlfn.CONCAT(_xlfn.UNIQUE(_xlfn._xlws.FILTER(AV$19:AV$1010,(($A$19:$A$1010=$A11)*(AV$19:AV$1010&lt;&gt;0)*(AV$19:AV$1010&lt;&gt;"F"))))),"")</f>
        <v/>
      </c>
      <c r="AW11" s="46" t="str" cm="1">
        <f t="array" ref="AW11">+IFERROR(_xlfn.CONCAT(_xlfn.UNIQUE(_xlfn._xlws.FILTER(AW$19:AW$1010,(($A$19:$A$1010=$A11)*(AW$19:AW$1010&lt;&gt;0)*(AW$19:AW$1010&lt;&gt;"F"))))),"")</f>
        <v/>
      </c>
      <c r="AX11" s="47" t="str" cm="1">
        <f t="array" ref="AX11">+IFERROR(_xlfn.CONCAT(_xlfn.UNIQUE(_xlfn._xlws.FILTER(AX$19:AX$1010,(($A$19:$A$1010=$A11)*(AX$19:AX$1010&lt;&gt;0)*(AX$19:AX$1010&lt;&gt;"F"))))),"")</f>
        <v/>
      </c>
      <c r="AY11" s="45" t="str" cm="1">
        <f t="array" ref="AY11">+IFERROR(_xlfn.CONCAT(_xlfn.UNIQUE(_xlfn._xlws.FILTER(AY$19:AY$1010,(($A$19:$A$1010=$A11)*(AY$19:AY$1010&lt;&gt;0)*(AY$19:AY$1010&lt;&gt;"F"))))),"")</f>
        <v/>
      </c>
      <c r="AZ11" s="46" t="str" cm="1">
        <f t="array" ref="AZ11">+IFERROR(_xlfn.CONCAT(_xlfn.UNIQUE(_xlfn._xlws.FILTER(AZ$19:AZ$1010,(($A$19:$A$1010=$A11)*(AZ$19:AZ$1010&lt;&gt;0)*(AZ$19:AZ$1010&lt;&gt;"F"))))),"")</f>
        <v/>
      </c>
      <c r="BA11" s="46" t="str" cm="1">
        <f t="array" ref="BA11">+IFERROR(_xlfn.CONCAT(_xlfn.UNIQUE(_xlfn._xlws.FILTER(BA$19:BA$1010,(($A$19:$A$1010=$A11)*(BA$19:BA$1010&lt;&gt;0)*(BA$19:BA$1010&lt;&gt;"F"))))),"")</f>
        <v/>
      </c>
      <c r="BB11" s="47" t="str" cm="1">
        <f t="array" ref="BB11">+IFERROR(_xlfn.CONCAT(_xlfn.UNIQUE(_xlfn._xlws.FILTER(BB$19:BB$1010,(($A$19:$A$1010=$A11)*(BB$19:BB$1010&lt;&gt;0)*(BB$19:BB$1010&lt;&gt;"F"))))),"")</f>
        <v/>
      </c>
      <c r="BC11" s="45" t="str" cm="1">
        <f t="array" ref="BC11">+IFERROR(_xlfn.CONCAT(_xlfn.UNIQUE(_xlfn._xlws.FILTER(BC$19:BC$1010,(($A$19:$A$1010=$A11)*(BC$19:BC$1010&lt;&gt;0)*(BC$19:BC$1010&lt;&gt;"F"))))),"")</f>
        <v/>
      </c>
      <c r="BD11" s="46" t="str" cm="1">
        <f t="array" ref="BD11">+IFERROR(_xlfn.CONCAT(_xlfn.UNIQUE(_xlfn._xlws.FILTER(BD$19:BD$1010,(($A$19:$A$1010=$A11)*(BD$19:BD$1010&lt;&gt;0)*(BD$19:BD$1010&lt;&gt;"F"))))),"")</f>
        <v/>
      </c>
      <c r="BE11" s="46" t="str" cm="1">
        <f t="array" ref="BE11">+IFERROR(_xlfn.CONCAT(_xlfn.UNIQUE(_xlfn._xlws.FILTER(BE$19:BE$1010,(($A$19:$A$1010=$A11)*(BE$19:BE$1010&lt;&gt;0)*(BE$19:BE$1010&lt;&gt;"F"))))),"")</f>
        <v/>
      </c>
      <c r="BF11" s="47" t="str" cm="1">
        <f t="array" ref="BF11">+IFERROR(_xlfn.CONCAT(_xlfn.UNIQUE(_xlfn._xlws.FILTER(BF$19:BF$1010,(($A$19:$A$1010=$A11)*(BF$19:BF$1010&lt;&gt;0)*(BF$19:BF$1010&lt;&gt;"F"))))),"")</f>
        <v/>
      </c>
      <c r="BG11" s="45" t="str" cm="1">
        <f t="array" ref="BG11">+IFERROR(_xlfn.CONCAT(_xlfn.UNIQUE(_xlfn._xlws.FILTER(BG$19:BG$1010,(($A$19:$A$1010=$A11)*(BG$19:BG$1010&lt;&gt;0)*(BG$19:BG$1010&lt;&gt;"F"))))),"")</f>
        <v/>
      </c>
      <c r="BH11" s="46" t="str" cm="1">
        <f t="array" ref="BH11">+IFERROR(_xlfn.CONCAT(_xlfn.UNIQUE(_xlfn._xlws.FILTER(BH$19:BH$1010,(($A$19:$A$1010=$A11)*(BH$19:BH$1010&lt;&gt;0)*(BH$19:BH$1010&lt;&gt;"F"))))),"")</f>
        <v/>
      </c>
      <c r="BI11" s="46" t="str" cm="1">
        <f t="array" ref="BI11">+IFERROR(_xlfn.CONCAT(_xlfn.UNIQUE(_xlfn._xlws.FILTER(BI$19:BI$1010,(($A$19:$A$1010=$A11)*(BI$19:BI$1010&lt;&gt;0)*(BI$19:BI$1010&lt;&gt;"F"))))),"")</f>
        <v/>
      </c>
      <c r="BJ11" s="46" t="str" cm="1">
        <f t="array" ref="BJ11">+IFERROR(_xlfn.CONCAT(_xlfn.UNIQUE(_xlfn._xlws.FILTER(BJ$19:BJ$1010,(($A$19:$A$1010=$A11)*(BJ$19:BJ$1010&lt;&gt;0)*(BJ$19:BJ$1010&lt;&gt;"F"))))),"")</f>
        <v/>
      </c>
      <c r="BK11" s="47" t="str" cm="1">
        <f t="array" ref="BK11">+IFERROR(_xlfn.CONCAT(_xlfn.UNIQUE(_xlfn._xlws.FILTER(BK$19:BK$1010,(($A$19:$A$1010=$A11)*(BK$19:BK$1010&lt;&gt;0)*(BK$19:BK$1010&lt;&gt;"F"))))),"")</f>
        <v/>
      </c>
      <c r="BL11" s="45" t="str" cm="1">
        <f t="array" ref="BL11">+IFERROR(_xlfn.CONCAT(_xlfn.UNIQUE(_xlfn._xlws.FILTER(BL$19:BL$1010,(($A$19:$A$1010=$A11)*(BL$19:BL$1010&lt;&gt;0)*(BL$19:BL$1010&lt;&gt;"F"))))),"")</f>
        <v/>
      </c>
      <c r="BM11" s="46" t="str" cm="1">
        <f t="array" ref="BM11">+IFERROR(_xlfn.CONCAT(_xlfn.UNIQUE(_xlfn._xlws.FILTER(BM$19:BM$1010,(($A$19:$A$1010=$A11)*(BM$19:BM$1010&lt;&gt;0)*(BM$19:BM$1010&lt;&gt;"F"))))),"")</f>
        <v/>
      </c>
      <c r="BN11" s="46" t="str" cm="1">
        <f t="array" ref="BN11">+IFERROR(_xlfn.CONCAT(_xlfn.UNIQUE(_xlfn._xlws.FILTER(BN$19:BN$1010,(($A$19:$A$1010=$A11)*(BN$19:BN$1010&lt;&gt;0)*(BN$19:BN$1010&lt;&gt;"F"))))),"")</f>
        <v/>
      </c>
      <c r="BO11" s="47" t="str" cm="1">
        <f t="array" ref="BO11">+IFERROR(_xlfn.CONCAT(_xlfn.UNIQUE(_xlfn._xlws.FILTER(BO$19:BO$1010,(($A$19:$A$1010=$A11)*(BO$19:BO$1010&lt;&gt;0)*(BO$19:BO$1010&lt;&gt;"F"))))),"")</f>
        <v/>
      </c>
      <c r="BP11" s="45" t="str" cm="1">
        <f t="array" ref="BP11">+IFERROR(_xlfn.CONCAT(_xlfn.UNIQUE(_xlfn._xlws.FILTER(BP$19:BP$1010,(($A$19:$A$1010=$A11)*(BP$19:BP$1010&lt;&gt;0)*(BP$19:BP$1010&lt;&gt;"F"))))),"")</f>
        <v/>
      </c>
      <c r="BQ11" s="46" t="str" cm="1">
        <f t="array" ref="BQ11">+IFERROR(_xlfn.CONCAT(_xlfn.UNIQUE(_xlfn._xlws.FILTER(BQ$19:BQ$1010,(($A$19:$A$1010=$A11)*(BQ$19:BQ$1010&lt;&gt;0)*(BQ$19:BQ$1010&lt;&gt;"F"))))),"")</f>
        <v/>
      </c>
      <c r="BR11" s="46" t="str" cm="1">
        <f t="array" ref="BR11">+IFERROR(_xlfn.CONCAT(_xlfn.UNIQUE(_xlfn._xlws.FILTER(BR$19:BR$1010,(($A$19:$A$1010=$A11)*(BR$19:BR$1010&lt;&gt;0)*(BR$19:BR$1010&lt;&gt;"F"))))),"")</f>
        <v/>
      </c>
      <c r="BS11" s="47" t="str" cm="1">
        <f t="array" ref="BS11">+IFERROR(_xlfn.CONCAT(_xlfn.UNIQUE(_xlfn._xlws.FILTER(BS$19:BS$1010,(($A$19:$A$1010=$A11)*(BS$19:BS$1010&lt;&gt;0)*(BS$19:BS$1010&lt;&gt;"F"))))),"")</f>
        <v/>
      </c>
    </row>
    <row r="12" spans="1:71" s="13" customFormat="1" ht="39.9" customHeight="1" x14ac:dyDescent="0.3">
      <c r="A12" s="58" t="str">
        <v>RAVEX - CANHOTO DIGITAL</v>
      </c>
      <c r="B12" s="30"/>
      <c r="C12" s="31">
        <v>0</v>
      </c>
      <c r="D12" s="32" t="str">
        <v>Melhoria de Processo</v>
      </c>
      <c r="E12" s="32" t="str">
        <v>Evolução, Melhoria ou Adequação</v>
      </c>
      <c r="F12" s="32" t="str">
        <v>Alta</v>
      </c>
      <c r="G12" s="48" t="str" cm="1">
        <f t="array" ref="G12">+IFERROR(_xlfn.CONCAT(_xlfn.UNIQUE(_xlfn._xlws.FILTER(G$19:G$1010,(($A$19:$A$1010=$A12)*(G$19:G$1010&lt;&gt;0)*(G$19:G$1010&lt;&gt;"F"))))),"")</f>
        <v/>
      </c>
      <c r="H12" s="49" t="str" cm="1">
        <f t="array" ref="H12">+IFERROR(_xlfn.CONCAT(_xlfn.UNIQUE(_xlfn._xlws.FILTER(H$19:H$1010,(($A$19:$A$1010=$A12)*(H$19:H$1010&lt;&gt;0)*(H$19:H$1010&lt;&gt;"F"))))),"")</f>
        <v/>
      </c>
      <c r="I12" s="49" t="str" cm="1">
        <f t="array" ref="I12">+IFERROR(_xlfn.CONCAT(_xlfn.UNIQUE(_xlfn._xlws.FILTER(I$19:I$1010,(($A$19:$A$1010=$A12)*(I$19:I$1010&lt;&gt;0)*(I$19:I$1010&lt;&gt;"F"))))),"")</f>
        <v/>
      </c>
      <c r="J12" s="49" t="str" cm="1">
        <f t="array" ref="J12">+IFERROR(_xlfn.CONCAT(_xlfn.UNIQUE(_xlfn._xlws.FILTER(J$19:J$1010,(($A$19:$A$1010=$A12)*(J$19:J$1010&lt;&gt;0)*(J$19:J$1010&lt;&gt;"F"))))),"")</f>
        <v/>
      </c>
      <c r="K12" s="50" t="str" cm="1">
        <f t="array" ref="K12">+IFERROR(_xlfn.CONCAT(_xlfn.UNIQUE(_xlfn._xlws.FILTER(K$19:K$1010,(($A$19:$A$1010=$A12)*(K$19:K$1010&lt;&gt;0)*(K$19:K$1010&lt;&gt;"F"))))),"")</f>
        <v/>
      </c>
      <c r="L12" s="48" t="str" cm="1">
        <f t="array" ref="L12">+IFERROR(_xlfn.CONCAT(_xlfn.UNIQUE(_xlfn._xlws.FILTER(L$19:L$1010,(($A$19:$A$1010=$A12)*(L$19:L$1010&lt;&gt;0)*(L$19:L$1010&lt;&gt;"F"))))),"")</f>
        <v/>
      </c>
      <c r="M12" s="49" t="str" cm="1">
        <f t="array" ref="M12">+IFERROR(_xlfn.CONCAT(_xlfn.UNIQUE(_xlfn._xlws.FILTER(M$19:M$1010,(($A$19:$A$1010=$A12)*(M$19:M$1010&lt;&gt;0)*(M$19:M$1010&lt;&gt;"F"))))),"")</f>
        <v/>
      </c>
      <c r="N12" s="49" t="str" cm="1">
        <f t="array" ref="N12">+IFERROR(_xlfn.CONCAT(_xlfn.UNIQUE(_xlfn._xlws.FILTER(N$19:N$1010,(($A$19:$A$1010=$A12)*(N$19:N$1010&lt;&gt;0)*(N$19:N$1010&lt;&gt;"F"))))),"")</f>
        <v/>
      </c>
      <c r="O12" s="50" t="str" cm="1">
        <f t="array" ref="O12">+IFERROR(_xlfn.CONCAT(_xlfn.UNIQUE(_xlfn._xlws.FILTER(O$19:O$1010,(($A$19:$A$1010=$A12)*(O$19:O$1010&lt;&gt;0)*(O$19:O$1010&lt;&gt;"F"))))),"")</f>
        <v/>
      </c>
      <c r="P12" s="48" t="str" cm="1">
        <f t="array" ref="P12">+IFERROR(_xlfn.CONCAT(_xlfn.UNIQUE(_xlfn._xlws.FILTER(P$19:P$1010,(($A$19:$A$1010=$A12)*(P$19:P$1010&lt;&gt;0)*(P$19:P$1010&lt;&gt;"F"))))),"")</f>
        <v/>
      </c>
      <c r="Q12" s="49" t="str" cm="1">
        <f t="array" ref="Q12">+IFERROR(_xlfn.CONCAT(_xlfn.UNIQUE(_xlfn._xlws.FILTER(Q$19:Q$1010,(($A$19:$A$1010=$A12)*(Q$19:Q$1010&lt;&gt;0)*(Q$19:Q$1010&lt;&gt;"F"))))),"")</f>
        <v/>
      </c>
      <c r="R12" s="49" t="str" cm="1">
        <f t="array" ref="R12">+IFERROR(_xlfn.CONCAT(_xlfn.UNIQUE(_xlfn._xlws.FILTER(R$19:R$1010,(($A$19:$A$1010=$A12)*(R$19:R$1010&lt;&gt;0)*(R$19:R$1010&lt;&gt;"F"))))),"")</f>
        <v/>
      </c>
      <c r="S12" s="50" t="str" cm="1">
        <f t="array" ref="S12">+IFERROR(_xlfn.CONCAT(_xlfn.UNIQUE(_xlfn._xlws.FILTER(S$19:S$1010,(($A$19:$A$1010=$A12)*(S$19:S$1010&lt;&gt;0)*(S$19:S$1010&lt;&gt;"F"))))),"")</f>
        <v/>
      </c>
      <c r="T12" s="48" t="str" cm="1">
        <f t="array" ref="T12">+IFERROR(_xlfn.CONCAT(_xlfn.UNIQUE(_xlfn._xlws.FILTER(T$19:T$1010,(($A$19:$A$1010=$A12)*(T$19:T$1010&lt;&gt;0)*(T$19:T$1010&lt;&gt;"F"))))),"")</f>
        <v/>
      </c>
      <c r="U12" s="49" t="str" cm="1">
        <f t="array" ref="U12">+IFERROR(_xlfn.CONCAT(_xlfn.UNIQUE(_xlfn._xlws.FILTER(U$19:U$1010,(($A$19:$A$1010=$A12)*(U$19:U$1010&lt;&gt;0)*(U$19:U$1010&lt;&gt;"F"))))),"")</f>
        <v/>
      </c>
      <c r="V12" s="49" t="str" cm="1">
        <f t="array" ref="V12">+IFERROR(_xlfn.CONCAT(_xlfn.UNIQUE(_xlfn._xlws.FILTER(V$19:V$1010,(($A$19:$A$1010=$A12)*(V$19:V$1010&lt;&gt;0)*(V$19:V$1010&lt;&gt;"F"))))),"")</f>
        <v/>
      </c>
      <c r="W12" s="49" t="str" cm="1">
        <f t="array" ref="W12">+IFERROR(_xlfn.CONCAT(_xlfn.UNIQUE(_xlfn._xlws.FILTER(W$19:W$1010,(($A$19:$A$1010=$A12)*(W$19:W$1010&lt;&gt;0)*(W$19:W$1010&lt;&gt;"F"))))),"")</f>
        <v/>
      </c>
      <c r="X12" s="50" t="str" cm="1">
        <f t="array" ref="X12">+IFERROR(_xlfn.CONCAT(_xlfn.UNIQUE(_xlfn._xlws.FILTER(X$19:X$1010,(($A$19:$A$1010=$A12)*(X$19:X$1010&lt;&gt;0)*(X$19:X$1010&lt;&gt;"F"))))),"")</f>
        <v/>
      </c>
      <c r="Y12" s="48" t="str" cm="1">
        <f t="array" ref="Y12">+IFERROR(_xlfn.CONCAT(_xlfn.UNIQUE(_xlfn._xlws.FILTER(Y$19:Y$1010,(($A$19:$A$1010=$A12)*(Y$19:Y$1010&lt;&gt;0)*(Y$19:Y$1010&lt;&gt;"F"))))),"")</f>
        <v/>
      </c>
      <c r="Z12" s="49" t="str" cm="1">
        <f t="array" ref="Z12">+IFERROR(_xlfn.CONCAT(_xlfn.UNIQUE(_xlfn._xlws.FILTER(Z$19:Z$1010,(($A$19:$A$1010=$A12)*(Z$19:Z$1010&lt;&gt;0)*(Z$19:Z$1010&lt;&gt;"F"))))),"")</f>
        <v/>
      </c>
      <c r="AA12" s="49" t="str" cm="1">
        <f t="array" ref="AA12">+IFERROR(_xlfn.CONCAT(_xlfn.UNIQUE(_xlfn._xlws.FILTER(AA$19:AA$1010,(($A$19:$A$1010=$A12)*(AA$19:AA$1010&lt;&gt;0)*(AA$19:AA$1010&lt;&gt;"F"))))),"")</f>
        <v/>
      </c>
      <c r="AB12" s="50" t="str" cm="1">
        <f t="array" ref="AB12">+IFERROR(_xlfn.CONCAT(_xlfn.UNIQUE(_xlfn._xlws.FILTER(AB$19:AB$1010,(($A$19:$A$1010=$A12)*(AB$19:AB$1010&lt;&gt;0)*(AB$19:AB$1010&lt;&gt;"F"))))),"")</f>
        <v/>
      </c>
      <c r="AC12" s="48" t="str" cm="1">
        <f t="array" ref="AC12">+IFERROR(_xlfn.CONCAT(_xlfn.UNIQUE(_xlfn._xlws.FILTER(AC$19:AC$1010,(($A$19:$A$1010=$A12)*(AC$19:AC$1010&lt;&gt;0)*(AC$19:AC$1010&lt;&gt;"F"))))),"")</f>
        <v/>
      </c>
      <c r="AD12" s="49" t="str" cm="1">
        <f t="array" ref="AD12">+IFERROR(_xlfn.CONCAT(_xlfn.UNIQUE(_xlfn._xlws.FILTER(AD$19:AD$1010,(($A$19:$A$1010=$A12)*(AD$19:AD$1010&lt;&gt;0)*(AD$19:AD$1010&lt;&gt;"F"))))),"")</f>
        <v/>
      </c>
      <c r="AE12" s="49" t="str" cm="1">
        <f t="array" ref="AE12">+IFERROR(_xlfn.CONCAT(_xlfn.UNIQUE(_xlfn._xlws.FILTER(AE$19:AE$1010,(($A$19:$A$1010=$A12)*(AE$19:AE$1010&lt;&gt;0)*(AE$19:AE$1010&lt;&gt;"F"))))),"")</f>
        <v/>
      </c>
      <c r="AF12" s="50" t="str" cm="1">
        <f t="array" ref="AF12">+IFERROR(_xlfn.CONCAT(_xlfn.UNIQUE(_xlfn._xlws.FILTER(AF$19:AF$1010,(($A$19:$A$1010=$A12)*(AF$19:AF$1010&lt;&gt;0)*(AF$19:AF$1010&lt;&gt;"F"))))),"")</f>
        <v/>
      </c>
      <c r="AG12" s="48" t="str" cm="1">
        <f t="array" ref="AG12">+IFERROR(_xlfn.CONCAT(_xlfn.UNIQUE(_xlfn._xlws.FILTER(AG$19:AG$1010,(($A$19:$A$1010=$A12)*(AG$19:AG$1010&lt;&gt;0)*(AG$19:AG$1010&lt;&gt;"F"))))),"")</f>
        <v/>
      </c>
      <c r="AH12" s="49" t="str" cm="1">
        <f t="array" ref="AH12">+IFERROR(_xlfn.CONCAT(_xlfn.UNIQUE(_xlfn._xlws.FILTER(AH$19:AH$1010,(($A$19:$A$1010=$A12)*(AH$19:AH$1010&lt;&gt;0)*(AH$19:AH$1010&lt;&gt;"F"))))),"")</f>
        <v/>
      </c>
      <c r="AI12" s="49" t="str" cm="1">
        <f t="array" ref="AI12">+IFERROR(_xlfn.CONCAT(_xlfn.UNIQUE(_xlfn._xlws.FILTER(AI$19:AI$1010,(($A$19:$A$1010=$A12)*(AI$19:AI$1010&lt;&gt;0)*(AI$19:AI$1010&lt;&gt;"F"))))),"")</f>
        <v/>
      </c>
      <c r="AJ12" s="49" t="str" cm="1">
        <f t="array" ref="AJ12">+IFERROR(_xlfn.CONCAT(_xlfn.UNIQUE(_xlfn._xlws.FILTER(AJ$19:AJ$1010,(($A$19:$A$1010=$A12)*(AJ$19:AJ$1010&lt;&gt;0)*(AJ$19:AJ$1010&lt;&gt;"F"))))),"")</f>
        <v/>
      </c>
      <c r="AK12" s="50" t="str" cm="1">
        <f t="array" ref="AK12">+IFERROR(_xlfn.CONCAT(_xlfn.UNIQUE(_xlfn._xlws.FILTER(AK$19:AK$1010,(($A$19:$A$1010=$A12)*(AK$19:AK$1010&lt;&gt;0)*(AK$19:AK$1010&lt;&gt;"F"))))),"")</f>
        <v/>
      </c>
      <c r="AL12" s="48" t="str" cm="1">
        <f t="array" ref="AL12">+IFERROR(_xlfn.CONCAT(_xlfn.UNIQUE(_xlfn._xlws.FILTER(AL$19:AL$1010,(($A$19:$A$1010=$A12)*(AL$19:AL$1010&lt;&gt;0)*(AL$19:AL$1010&lt;&gt;"F"))))),"")</f>
        <v/>
      </c>
      <c r="AM12" s="49" t="str" cm="1">
        <f t="array" ref="AM12">+IFERROR(_xlfn.CONCAT(_xlfn.UNIQUE(_xlfn._xlws.FILTER(AM$19:AM$1010,(($A$19:$A$1010=$A12)*(AM$19:AM$1010&lt;&gt;0)*(AM$19:AM$1010&lt;&gt;"F"))))),"")</f>
        <v/>
      </c>
      <c r="AN12" s="49" t="str" cm="1">
        <f t="array" ref="AN12">+IFERROR(_xlfn.CONCAT(_xlfn.UNIQUE(_xlfn._xlws.FILTER(AN$19:AN$1010,(($A$19:$A$1010=$A12)*(AN$19:AN$1010&lt;&gt;0)*(AN$19:AN$1010&lt;&gt;"F"))))),"")</f>
        <v/>
      </c>
      <c r="AO12" s="50" t="str" cm="1">
        <f t="array" ref="AO12">+IFERROR(_xlfn.CONCAT(_xlfn.UNIQUE(_xlfn._xlws.FILTER(AO$19:AO$1010,(($A$19:$A$1010=$A12)*(AO$19:AO$1010&lt;&gt;0)*(AO$19:AO$1010&lt;&gt;"F"))))),"")</f>
        <v/>
      </c>
      <c r="AP12" s="48" t="str" cm="1">
        <f t="array" ref="AP12">+IFERROR(_xlfn.CONCAT(_xlfn.UNIQUE(_xlfn._xlws.FILTER(AP$19:AP$1010,(($A$19:$A$1010=$A12)*(AP$19:AP$1010&lt;&gt;0)*(AP$19:AP$1010&lt;&gt;"F"))))),"")</f>
        <v/>
      </c>
      <c r="AQ12" s="49" t="str" cm="1">
        <f t="array" ref="AQ12">+IFERROR(_xlfn.CONCAT(_xlfn.UNIQUE(_xlfn._xlws.FILTER(AQ$19:AQ$1010,(($A$19:$A$1010=$A12)*(AQ$19:AQ$1010&lt;&gt;0)*(AQ$19:AQ$1010&lt;&gt;"F"))))),"")</f>
        <v/>
      </c>
      <c r="AR12" s="49" t="str" cm="1">
        <f t="array" ref="AR12">+IFERROR(_xlfn.CONCAT(_xlfn.UNIQUE(_xlfn._xlws.FILTER(AR$19:AR$1010,(($A$19:$A$1010=$A12)*(AR$19:AR$1010&lt;&gt;0)*(AR$19:AR$1010&lt;&gt;"F"))))),"")</f>
        <v/>
      </c>
      <c r="AS12" s="50" t="str" cm="1">
        <f t="array" ref="AS12">+IFERROR(_xlfn.CONCAT(_xlfn.UNIQUE(_xlfn._xlws.FILTER(AS$19:AS$1010,(($A$19:$A$1010=$A12)*(AS$19:AS$1010&lt;&gt;0)*(AS$19:AS$1010&lt;&gt;"F"))))),"")</f>
        <v/>
      </c>
      <c r="AT12" s="48" t="str" cm="1">
        <f t="array" ref="AT12">+IFERROR(_xlfn.CONCAT(_xlfn.UNIQUE(_xlfn._xlws.FILTER(AT$19:AT$1010,(($A$19:$A$1010=$A12)*(AT$19:AT$1010&lt;&gt;0)*(AT$19:AT$1010&lt;&gt;"F"))))),"")</f>
        <v/>
      </c>
      <c r="AU12" s="49" t="str" cm="1">
        <f t="array" ref="AU12">+IFERROR(_xlfn.CONCAT(_xlfn.UNIQUE(_xlfn._xlws.FILTER(AU$19:AU$1010,(($A$19:$A$1010=$A12)*(AU$19:AU$1010&lt;&gt;0)*(AU$19:AU$1010&lt;&gt;"F"))))),"")</f>
        <v/>
      </c>
      <c r="AV12" s="49" t="str" cm="1">
        <f t="array" ref="AV12">+IFERROR(_xlfn.CONCAT(_xlfn.UNIQUE(_xlfn._xlws.FILTER(AV$19:AV$1010,(($A$19:$A$1010=$A12)*(AV$19:AV$1010&lt;&gt;0)*(AV$19:AV$1010&lt;&gt;"F"))))),"")</f>
        <v/>
      </c>
      <c r="AW12" s="49" t="str" cm="1">
        <f t="array" ref="AW12">+IFERROR(_xlfn.CONCAT(_xlfn.UNIQUE(_xlfn._xlws.FILTER(AW$19:AW$1010,(($A$19:$A$1010=$A12)*(AW$19:AW$1010&lt;&gt;0)*(AW$19:AW$1010&lt;&gt;"F"))))),"")</f>
        <v/>
      </c>
      <c r="AX12" s="50" t="str" cm="1">
        <f t="array" ref="AX12">+IFERROR(_xlfn.CONCAT(_xlfn.UNIQUE(_xlfn._xlws.FILTER(AX$19:AX$1010,(($A$19:$A$1010=$A12)*(AX$19:AX$1010&lt;&gt;0)*(AX$19:AX$1010&lt;&gt;"F"))))),"")</f>
        <v/>
      </c>
      <c r="AY12" s="48" t="str" cm="1">
        <f t="array" ref="AY12">+IFERROR(_xlfn.CONCAT(_xlfn.UNIQUE(_xlfn._xlws.FILTER(AY$19:AY$1010,(($A$19:$A$1010=$A12)*(AY$19:AY$1010&lt;&gt;0)*(AY$19:AY$1010&lt;&gt;"F"))))),"")</f>
        <v/>
      </c>
      <c r="AZ12" s="49" t="str" cm="1">
        <f t="array" ref="AZ12">+IFERROR(_xlfn.CONCAT(_xlfn.UNIQUE(_xlfn._xlws.FILTER(AZ$19:AZ$1010,(($A$19:$A$1010=$A12)*(AZ$19:AZ$1010&lt;&gt;0)*(AZ$19:AZ$1010&lt;&gt;"F"))))),"")</f>
        <v/>
      </c>
      <c r="BA12" s="49" t="str" cm="1">
        <f t="array" ref="BA12">+IFERROR(_xlfn.CONCAT(_xlfn.UNIQUE(_xlfn._xlws.FILTER(BA$19:BA$1010,(($A$19:$A$1010=$A12)*(BA$19:BA$1010&lt;&gt;0)*(BA$19:BA$1010&lt;&gt;"F"))))),"")</f>
        <v/>
      </c>
      <c r="BB12" s="50" t="str" cm="1">
        <f t="array" ref="BB12">+IFERROR(_xlfn.CONCAT(_xlfn.UNIQUE(_xlfn._xlws.FILTER(BB$19:BB$1010,(($A$19:$A$1010=$A12)*(BB$19:BB$1010&lt;&gt;0)*(BB$19:BB$1010&lt;&gt;"F"))))),"")</f>
        <v/>
      </c>
      <c r="BC12" s="48" t="str" cm="1">
        <f t="array" ref="BC12">+IFERROR(_xlfn.CONCAT(_xlfn.UNIQUE(_xlfn._xlws.FILTER(BC$19:BC$1010,(($A$19:$A$1010=$A12)*(BC$19:BC$1010&lt;&gt;0)*(BC$19:BC$1010&lt;&gt;"F"))))),"")</f>
        <v/>
      </c>
      <c r="BD12" s="49" t="str" cm="1">
        <f t="array" ref="BD12">+IFERROR(_xlfn.CONCAT(_xlfn.UNIQUE(_xlfn._xlws.FILTER(BD$19:BD$1010,(($A$19:$A$1010=$A12)*(BD$19:BD$1010&lt;&gt;0)*(BD$19:BD$1010&lt;&gt;"F"))))),"")</f>
        <v/>
      </c>
      <c r="BE12" s="49" t="str" cm="1">
        <f t="array" ref="BE12">+IFERROR(_xlfn.CONCAT(_xlfn.UNIQUE(_xlfn._xlws.FILTER(BE$19:BE$1010,(($A$19:$A$1010=$A12)*(BE$19:BE$1010&lt;&gt;0)*(BE$19:BE$1010&lt;&gt;"F"))))),"")</f>
        <v/>
      </c>
      <c r="BF12" s="50" t="str" cm="1">
        <f t="array" ref="BF12">+IFERROR(_xlfn.CONCAT(_xlfn.UNIQUE(_xlfn._xlws.FILTER(BF$19:BF$1010,(($A$19:$A$1010=$A12)*(BF$19:BF$1010&lt;&gt;0)*(BF$19:BF$1010&lt;&gt;"F"))))),"")</f>
        <v/>
      </c>
      <c r="BG12" s="48" t="str" cm="1">
        <f t="array" ref="BG12">+IFERROR(_xlfn.CONCAT(_xlfn.UNIQUE(_xlfn._xlws.FILTER(BG$19:BG$1010,(($A$19:$A$1010=$A12)*(BG$19:BG$1010&lt;&gt;0)*(BG$19:BG$1010&lt;&gt;"F"))))),"")</f>
        <v/>
      </c>
      <c r="BH12" s="49" t="str" cm="1">
        <f t="array" ref="BH12">+IFERROR(_xlfn.CONCAT(_xlfn.UNIQUE(_xlfn._xlws.FILTER(BH$19:BH$1010,(($A$19:$A$1010=$A12)*(BH$19:BH$1010&lt;&gt;0)*(BH$19:BH$1010&lt;&gt;"F"))))),"")</f>
        <v/>
      </c>
      <c r="BI12" s="49" t="str" cm="1">
        <f t="array" ref="BI12">+IFERROR(_xlfn.CONCAT(_xlfn.UNIQUE(_xlfn._xlws.FILTER(BI$19:BI$1010,(($A$19:$A$1010=$A12)*(BI$19:BI$1010&lt;&gt;0)*(BI$19:BI$1010&lt;&gt;"F"))))),"")</f>
        <v/>
      </c>
      <c r="BJ12" s="49" t="str" cm="1">
        <f t="array" ref="BJ12">+IFERROR(_xlfn.CONCAT(_xlfn.UNIQUE(_xlfn._xlws.FILTER(BJ$19:BJ$1010,(($A$19:$A$1010=$A12)*(BJ$19:BJ$1010&lt;&gt;0)*(BJ$19:BJ$1010&lt;&gt;"F"))))),"")</f>
        <v/>
      </c>
      <c r="BK12" s="50" t="str" cm="1">
        <f t="array" ref="BK12">+IFERROR(_xlfn.CONCAT(_xlfn.UNIQUE(_xlfn._xlws.FILTER(BK$19:BK$1010,(($A$19:$A$1010=$A12)*(BK$19:BK$1010&lt;&gt;0)*(BK$19:BK$1010&lt;&gt;"F"))))),"")</f>
        <v/>
      </c>
      <c r="BL12" s="48" t="str" cm="1">
        <f t="array" ref="BL12">+IFERROR(_xlfn.CONCAT(_xlfn.UNIQUE(_xlfn._xlws.FILTER(BL$19:BL$1010,(($A$19:$A$1010=$A12)*(BL$19:BL$1010&lt;&gt;0)*(BL$19:BL$1010&lt;&gt;"F"))))),"")</f>
        <v/>
      </c>
      <c r="BM12" s="49" t="str" cm="1">
        <f t="array" ref="BM12">+IFERROR(_xlfn.CONCAT(_xlfn.UNIQUE(_xlfn._xlws.FILTER(BM$19:BM$1010,(($A$19:$A$1010=$A12)*(BM$19:BM$1010&lt;&gt;0)*(BM$19:BM$1010&lt;&gt;"F"))))),"")</f>
        <v/>
      </c>
      <c r="BN12" s="49" t="str" cm="1">
        <f t="array" ref="BN12">+IFERROR(_xlfn.CONCAT(_xlfn.UNIQUE(_xlfn._xlws.FILTER(BN$19:BN$1010,(($A$19:$A$1010=$A12)*(BN$19:BN$1010&lt;&gt;0)*(BN$19:BN$1010&lt;&gt;"F"))))),"")</f>
        <v/>
      </c>
      <c r="BO12" s="50" t="str" cm="1">
        <f t="array" ref="BO12">+IFERROR(_xlfn.CONCAT(_xlfn.UNIQUE(_xlfn._xlws.FILTER(BO$19:BO$1010,(($A$19:$A$1010=$A12)*(BO$19:BO$1010&lt;&gt;0)*(BO$19:BO$1010&lt;&gt;"F"))))),"")</f>
        <v/>
      </c>
      <c r="BP12" s="48" t="str" cm="1">
        <f t="array" ref="BP12">+IFERROR(_xlfn.CONCAT(_xlfn.UNIQUE(_xlfn._xlws.FILTER(BP$19:BP$1010,(($A$19:$A$1010=$A12)*(BP$19:BP$1010&lt;&gt;0)*(BP$19:BP$1010&lt;&gt;"F"))))),"")</f>
        <v/>
      </c>
      <c r="BQ12" s="49" t="str" cm="1">
        <f t="array" ref="BQ12">+IFERROR(_xlfn.CONCAT(_xlfn.UNIQUE(_xlfn._xlws.FILTER(BQ$19:BQ$1010,(($A$19:$A$1010=$A12)*(BQ$19:BQ$1010&lt;&gt;0)*(BQ$19:BQ$1010&lt;&gt;"F"))))),"")</f>
        <v/>
      </c>
      <c r="BR12" s="49" t="str" cm="1">
        <f t="array" ref="BR12">+IFERROR(_xlfn.CONCAT(_xlfn.UNIQUE(_xlfn._xlws.FILTER(BR$19:BR$1010,(($A$19:$A$1010=$A12)*(BR$19:BR$1010&lt;&gt;0)*(BR$19:BR$1010&lt;&gt;"F"))))),"")</f>
        <v/>
      </c>
      <c r="BS12" s="50" t="str" cm="1">
        <f t="array" ref="BS12">+IFERROR(_xlfn.CONCAT(_xlfn.UNIQUE(_xlfn._xlws.FILTER(BS$19:BS$1010,(($A$19:$A$1010=$A12)*(BS$19:BS$1010&lt;&gt;0)*(BS$19:BS$1010&lt;&gt;"F"))))),"")</f>
        <v/>
      </c>
    </row>
    <row r="13" spans="1:71" x14ac:dyDescent="0.4">
      <c r="A13" s="10" t="str">
        <v>RAVEX - BALDEIO PARCIAL</v>
      </c>
      <c r="C13" s="11">
        <v>0</v>
      </c>
      <c r="D13" s="12" t="str">
        <v>Melhoria de Processo</v>
      </c>
      <c r="E13" s="12" t="str">
        <v>Evolução, Melhoria ou Adequação</v>
      </c>
      <c r="F13" s="12" t="str">
        <v>Alta</v>
      </c>
    </row>
    <row r="15" spans="1:71" ht="21.6" x14ac:dyDescent="0.4">
      <c r="G15" s="36" t="s">
        <v>163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</row>
    <row r="16" spans="1:71" x14ac:dyDescent="0.4">
      <c r="G16" s="39" t="s">
        <v>142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1"/>
      <c r="T16" s="39" t="s">
        <v>143</v>
      </c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1"/>
      <c r="AG16" s="39" t="s">
        <v>144</v>
      </c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1"/>
      <c r="AT16" s="39" t="s">
        <v>145</v>
      </c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1"/>
      <c r="BG16" s="39" t="s">
        <v>146</v>
      </c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1"/>
    </row>
    <row r="17" spans="1:79" x14ac:dyDescent="0.4">
      <c r="G17" s="39" t="s">
        <v>137</v>
      </c>
      <c r="H17" s="40"/>
      <c r="I17" s="40"/>
      <c r="J17" s="40"/>
      <c r="K17" s="41"/>
      <c r="L17" s="39" t="s">
        <v>138</v>
      </c>
      <c r="M17" s="40"/>
      <c r="N17" s="40"/>
      <c r="O17" s="41"/>
      <c r="P17" s="39" t="s">
        <v>139</v>
      </c>
      <c r="Q17" s="40"/>
      <c r="R17" s="40"/>
      <c r="S17" s="41"/>
      <c r="T17" s="39" t="s">
        <v>128</v>
      </c>
      <c r="U17" s="40"/>
      <c r="V17" s="40"/>
      <c r="W17" s="40"/>
      <c r="X17" s="41"/>
      <c r="Y17" s="39" t="s">
        <v>129</v>
      </c>
      <c r="Z17" s="40"/>
      <c r="AA17" s="40"/>
      <c r="AB17" s="41"/>
      <c r="AC17" s="39" t="s">
        <v>130</v>
      </c>
      <c r="AD17" s="40"/>
      <c r="AE17" s="40"/>
      <c r="AF17" s="41"/>
      <c r="AG17" s="39" t="s">
        <v>131</v>
      </c>
      <c r="AH17" s="40"/>
      <c r="AI17" s="40"/>
      <c r="AJ17" s="40"/>
      <c r="AK17" s="41"/>
      <c r="AL17" s="39" t="s">
        <v>132</v>
      </c>
      <c r="AM17" s="40"/>
      <c r="AN17" s="40"/>
      <c r="AO17" s="41"/>
      <c r="AP17" s="39" t="s">
        <v>133</v>
      </c>
      <c r="AQ17" s="40"/>
      <c r="AR17" s="40"/>
      <c r="AS17" s="41"/>
      <c r="AT17" s="39" t="s">
        <v>134</v>
      </c>
      <c r="AU17" s="40"/>
      <c r="AV17" s="40"/>
      <c r="AW17" s="40"/>
      <c r="AX17" s="41"/>
      <c r="AY17" s="39" t="s">
        <v>135</v>
      </c>
      <c r="AZ17" s="40"/>
      <c r="BA17" s="40"/>
      <c r="BB17" s="41"/>
      <c r="BC17" s="39" t="s">
        <v>136</v>
      </c>
      <c r="BD17" s="40"/>
      <c r="BE17" s="40"/>
      <c r="BF17" s="41"/>
      <c r="BG17" s="39" t="s">
        <v>137</v>
      </c>
      <c r="BH17" s="40"/>
      <c r="BI17" s="40"/>
      <c r="BJ17" s="40"/>
      <c r="BK17" s="41"/>
      <c r="BL17" s="39" t="s">
        <v>138</v>
      </c>
      <c r="BM17" s="40"/>
      <c r="BN17" s="40"/>
      <c r="BO17" s="41"/>
      <c r="BP17" s="39" t="s">
        <v>139</v>
      </c>
      <c r="BQ17" s="40"/>
      <c r="BR17" s="40"/>
      <c r="BS17" s="41"/>
    </row>
    <row r="18" spans="1:79" x14ac:dyDescent="0.4">
      <c r="G18" s="37">
        <v>40</v>
      </c>
      <c r="H18" s="12">
        <v>41</v>
      </c>
      <c r="I18" s="12">
        <v>42</v>
      </c>
      <c r="J18" s="12">
        <v>43</v>
      </c>
      <c r="K18" s="38">
        <v>44</v>
      </c>
      <c r="L18" s="37">
        <v>45</v>
      </c>
      <c r="M18" s="12">
        <v>46</v>
      </c>
      <c r="N18" s="12">
        <v>47</v>
      </c>
      <c r="O18" s="38">
        <v>48</v>
      </c>
      <c r="P18" s="37">
        <v>49</v>
      </c>
      <c r="Q18" s="12">
        <v>50</v>
      </c>
      <c r="R18" s="12">
        <v>51</v>
      </c>
      <c r="S18" s="38">
        <v>52</v>
      </c>
      <c r="T18" s="37">
        <v>1</v>
      </c>
      <c r="U18" s="12">
        <v>2</v>
      </c>
      <c r="V18" s="12">
        <v>3</v>
      </c>
      <c r="W18" s="12">
        <v>4</v>
      </c>
      <c r="X18" s="38">
        <v>5</v>
      </c>
      <c r="Y18" s="37">
        <v>6</v>
      </c>
      <c r="Z18" s="12">
        <v>7</v>
      </c>
      <c r="AA18" s="12">
        <v>8</v>
      </c>
      <c r="AB18" s="38">
        <v>9</v>
      </c>
      <c r="AC18" s="37">
        <v>10</v>
      </c>
      <c r="AD18" s="12">
        <v>11</v>
      </c>
      <c r="AE18" s="12">
        <v>12</v>
      </c>
      <c r="AF18" s="38">
        <v>13</v>
      </c>
      <c r="AG18" s="37">
        <v>14</v>
      </c>
      <c r="AH18" s="12">
        <v>15</v>
      </c>
      <c r="AI18" s="12">
        <v>16</v>
      </c>
      <c r="AJ18" s="12">
        <v>17</v>
      </c>
      <c r="AK18" s="38">
        <v>18</v>
      </c>
      <c r="AL18" s="37">
        <v>19</v>
      </c>
      <c r="AM18" s="12">
        <v>20</v>
      </c>
      <c r="AN18" s="12">
        <v>21</v>
      </c>
      <c r="AO18" s="38">
        <v>22</v>
      </c>
      <c r="AP18" s="37">
        <v>23</v>
      </c>
      <c r="AQ18" s="12">
        <v>24</v>
      </c>
      <c r="AR18" s="12">
        <v>25</v>
      </c>
      <c r="AS18" s="38">
        <v>26</v>
      </c>
      <c r="AT18" s="37">
        <v>27</v>
      </c>
      <c r="AU18" s="12">
        <v>28</v>
      </c>
      <c r="AV18" s="12">
        <v>29</v>
      </c>
      <c r="AW18" s="12">
        <v>30</v>
      </c>
      <c r="AX18" s="38">
        <v>31</v>
      </c>
      <c r="AY18" s="37">
        <v>32</v>
      </c>
      <c r="AZ18" s="12">
        <v>33</v>
      </c>
      <c r="BA18" s="12">
        <v>34</v>
      </c>
      <c r="BB18" s="38">
        <v>35</v>
      </c>
      <c r="BC18" s="37">
        <v>36</v>
      </c>
      <c r="BD18" s="12">
        <v>37</v>
      </c>
      <c r="BE18" s="12">
        <v>38</v>
      </c>
      <c r="BF18" s="38">
        <v>39</v>
      </c>
      <c r="BG18" s="37">
        <v>40</v>
      </c>
      <c r="BH18" s="12">
        <v>41</v>
      </c>
      <c r="BI18" s="12">
        <v>42</v>
      </c>
      <c r="BJ18" s="12">
        <v>43</v>
      </c>
      <c r="BK18" s="38">
        <v>44</v>
      </c>
      <c r="BL18" s="37">
        <v>45</v>
      </c>
      <c r="BM18" s="12">
        <v>46</v>
      </c>
      <c r="BN18" s="12">
        <v>47</v>
      </c>
      <c r="BO18" s="38">
        <v>48</v>
      </c>
      <c r="BP18" s="37">
        <v>49</v>
      </c>
      <c r="BQ18" s="12">
        <v>50</v>
      </c>
      <c r="BR18" s="12">
        <v>51</v>
      </c>
      <c r="BS18" s="38">
        <v>52</v>
      </c>
    </row>
    <row r="19" spans="1:79" ht="30" customHeight="1" x14ac:dyDescent="0.4">
      <c r="A19" s="17" t="s">
        <v>54</v>
      </c>
      <c r="B19" s="18" t="e" vm="1">
        <f>+_xlfn.XLOOKUP($A19,tab_recursos[nome_recurso],tab_recursos[foto_recurso],"")</f>
        <v>#VALUE!</v>
      </c>
      <c r="C19" s="19"/>
      <c r="D19" s="20"/>
      <c r="E19" s="20"/>
      <c r="F19" s="2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2"/>
      <c r="W19" s="52"/>
      <c r="X19" s="52"/>
      <c r="Y19" s="52"/>
      <c r="Z19" s="52"/>
      <c r="AA19" s="52"/>
      <c r="AB19" s="52"/>
      <c r="AC19" s="52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</row>
    <row r="20" spans="1:79" s="13" customFormat="1" ht="39.9" customHeight="1" x14ac:dyDescent="0.3">
      <c r="A20" s="25" t="s">
        <v>103</v>
      </c>
      <c r="B20" s="25"/>
      <c r="C20" s="23" t="e" cm="1">
        <f t="array" ref="C20">+_xlfn.XLOOKUP($A20,tab_projetos[nome_projeto],tab_projetos[[ganho_projetado]:[complexidade]])</f>
        <v>#N/A</v>
      </c>
      <c r="D20" s="24"/>
      <c r="E20" s="24"/>
      <c r="F20" s="24"/>
      <c r="G20" s="53"/>
      <c r="H20" s="53"/>
      <c r="I20" s="53"/>
      <c r="J20" s="53"/>
      <c r="K20" s="53"/>
      <c r="L20" s="53"/>
      <c r="M20" s="53"/>
      <c r="N20" s="53" t="s">
        <v>16</v>
      </c>
      <c r="O20" s="53" t="s">
        <v>15</v>
      </c>
      <c r="P20" s="53" t="s">
        <v>15</v>
      </c>
      <c r="Q20" s="53" t="s">
        <v>15</v>
      </c>
      <c r="R20" s="53" t="s">
        <v>14</v>
      </c>
      <c r="S20" s="53" t="s">
        <v>14</v>
      </c>
      <c r="T20" s="53" t="s">
        <v>191</v>
      </c>
      <c r="U20" s="53" t="s">
        <v>191</v>
      </c>
      <c r="V20" s="53" t="s">
        <v>191</v>
      </c>
      <c r="W20" s="53" t="s">
        <v>191</v>
      </c>
      <c r="X20" s="53" t="s">
        <v>191</v>
      </c>
      <c r="Y20" s="53" t="s">
        <v>12</v>
      </c>
      <c r="Z20" s="53" t="s">
        <v>17</v>
      </c>
      <c r="AA20" s="53" t="s">
        <v>17</v>
      </c>
      <c r="AB20" s="53" t="s">
        <v>18</v>
      </c>
      <c r="AC20" s="53" t="s">
        <v>18</v>
      </c>
      <c r="AD20" s="53" t="s">
        <v>165</v>
      </c>
      <c r="AE20" s="53" t="s">
        <v>165</v>
      </c>
      <c r="AF20" s="53" t="s">
        <v>164</v>
      </c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</row>
    <row r="21" spans="1:79" s="13" customFormat="1" ht="39.9" customHeight="1" x14ac:dyDescent="0.3">
      <c r="A21" s="25" t="s">
        <v>102</v>
      </c>
      <c r="B21" s="25"/>
      <c r="C21" s="23" t="e" cm="1">
        <f t="array" ref="C21">+_xlfn.XLOOKUP($A21,tab_projetos[nome_projeto],tab_projetos[[ganho_projetado]:[complexidade]])</f>
        <v>#N/A</v>
      </c>
      <c r="D21" s="24"/>
      <c r="E21" s="24"/>
      <c r="F21" s="24"/>
      <c r="G21" s="53"/>
      <c r="H21" s="53"/>
      <c r="I21" s="53"/>
      <c r="J21" s="53"/>
      <c r="K21" s="53"/>
      <c r="L21" s="53"/>
      <c r="M21" s="53"/>
      <c r="N21" s="53"/>
      <c r="O21" s="53" t="s">
        <v>16</v>
      </c>
      <c r="P21" s="53" t="s">
        <v>15</v>
      </c>
      <c r="Q21" s="53" t="s">
        <v>15</v>
      </c>
      <c r="R21" s="53" t="s">
        <v>15</v>
      </c>
      <c r="S21" s="53" t="s">
        <v>14</v>
      </c>
      <c r="T21" s="53" t="s">
        <v>191</v>
      </c>
      <c r="U21" s="53" t="s">
        <v>191</v>
      </c>
      <c r="V21" s="53" t="s">
        <v>191</v>
      </c>
      <c r="W21" s="53" t="s">
        <v>191</v>
      </c>
      <c r="X21" s="53" t="s">
        <v>191</v>
      </c>
      <c r="Y21" s="53" t="s">
        <v>12</v>
      </c>
      <c r="Z21" s="53" t="s">
        <v>17</v>
      </c>
      <c r="AA21" s="53" t="s">
        <v>17</v>
      </c>
      <c r="AB21" s="53" t="s">
        <v>18</v>
      </c>
      <c r="AC21" s="53" t="s">
        <v>18</v>
      </c>
      <c r="AD21" s="53" t="s">
        <v>165</v>
      </c>
      <c r="AE21" s="53" t="s">
        <v>165</v>
      </c>
      <c r="AF21" s="53" t="s">
        <v>164</v>
      </c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</row>
    <row r="22" spans="1:79" s="13" customFormat="1" ht="39.9" customHeight="1" x14ac:dyDescent="0.3">
      <c r="A22" s="25" t="s">
        <v>104</v>
      </c>
      <c r="B22" s="25"/>
      <c r="C22" s="23" t="e" cm="1">
        <f t="array" ref="C22">+_xlfn.XLOOKUP($A22,tab_projetos[nome_projeto],tab_projetos[[ganho_projetado]:[complexidade]])</f>
        <v>#N/A</v>
      </c>
      <c r="D22" s="24"/>
      <c r="E22" s="24"/>
      <c r="F22" s="24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 t="s">
        <v>191</v>
      </c>
      <c r="U22" s="53" t="s">
        <v>191</v>
      </c>
      <c r="V22" s="53" t="s">
        <v>191</v>
      </c>
      <c r="W22" s="53" t="s">
        <v>191</v>
      </c>
      <c r="X22" s="53" t="s">
        <v>191</v>
      </c>
      <c r="Y22" s="53"/>
      <c r="Z22" s="53"/>
      <c r="AA22" s="53"/>
      <c r="AB22" s="53"/>
      <c r="AC22" s="53"/>
      <c r="AD22" s="53"/>
      <c r="AE22" s="53" t="s">
        <v>16</v>
      </c>
      <c r="AF22" s="53" t="s">
        <v>15</v>
      </c>
      <c r="AG22" s="53" t="s">
        <v>15</v>
      </c>
      <c r="AH22" s="53" t="s">
        <v>15</v>
      </c>
      <c r="AI22" s="53" t="s">
        <v>14</v>
      </c>
      <c r="AJ22" s="53" t="s">
        <v>13</v>
      </c>
      <c r="AK22" s="53" t="s">
        <v>13</v>
      </c>
      <c r="AL22" s="53" t="s">
        <v>13</v>
      </c>
      <c r="AM22" s="53" t="s">
        <v>13</v>
      </c>
      <c r="AN22" s="53" t="s">
        <v>13</v>
      </c>
      <c r="AO22" s="53" t="s">
        <v>12</v>
      </c>
      <c r="AP22" s="53" t="s">
        <v>17</v>
      </c>
      <c r="AQ22" s="53" t="s">
        <v>17</v>
      </c>
      <c r="AR22" s="53" t="s">
        <v>18</v>
      </c>
      <c r="AS22" s="53" t="s">
        <v>18</v>
      </c>
      <c r="AT22" s="53" t="s">
        <v>165</v>
      </c>
      <c r="AU22" s="53" t="s">
        <v>165</v>
      </c>
      <c r="AV22" s="53" t="s">
        <v>164</v>
      </c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</row>
    <row r="23" spans="1:79" s="13" customFormat="1" ht="39.9" customHeight="1" x14ac:dyDescent="0.3">
      <c r="A23" s="25" t="s">
        <v>105</v>
      </c>
      <c r="B23" s="25"/>
      <c r="C23" s="23" cm="1">
        <f t="array" ref="C23:F23">+_xlfn.XLOOKUP($A23,tab_projetos[nome_projeto],tab_projetos[[ganho_projetado]:[complexidade]])</f>
        <v>3600000</v>
      </c>
      <c r="D23" s="24" t="str">
        <v>Evolução do Produto</v>
      </c>
      <c r="E23" s="24" t="str">
        <v>Evolução, Melhoria ou Adequação</v>
      </c>
      <c r="F23" s="24" t="str">
        <v>Muito Alta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 t="s">
        <v>191</v>
      </c>
      <c r="U23" s="53" t="s">
        <v>191</v>
      </c>
      <c r="V23" s="53" t="s">
        <v>191</v>
      </c>
      <c r="W23" s="53" t="s">
        <v>191</v>
      </c>
      <c r="X23" s="53" t="s">
        <v>191</v>
      </c>
      <c r="Y23" s="53"/>
      <c r="Z23" s="53"/>
      <c r="AA23" s="53"/>
      <c r="AB23" s="53"/>
      <c r="AC23" s="53"/>
      <c r="AD23" s="53"/>
      <c r="AE23" s="53"/>
      <c r="AF23" s="53"/>
      <c r="AG23" s="53" t="s">
        <v>16</v>
      </c>
      <c r="AH23" s="53" t="s">
        <v>15</v>
      </c>
      <c r="AI23" s="53" t="s">
        <v>15</v>
      </c>
      <c r="AJ23" s="53" t="s">
        <v>15</v>
      </c>
      <c r="AK23" s="53" t="s">
        <v>15</v>
      </c>
      <c r="AL23" s="53" t="s">
        <v>14</v>
      </c>
      <c r="AM23" s="53" t="s">
        <v>13</v>
      </c>
      <c r="AN23" s="53" t="s">
        <v>13</v>
      </c>
      <c r="AO23" s="53" t="s">
        <v>13</v>
      </c>
      <c r="AP23" s="53" t="s">
        <v>13</v>
      </c>
      <c r="AQ23" s="53" t="s">
        <v>13</v>
      </c>
      <c r="AR23" s="53" t="s">
        <v>13</v>
      </c>
      <c r="AS23" s="53" t="s">
        <v>13</v>
      </c>
      <c r="AT23" s="53" t="s">
        <v>13</v>
      </c>
      <c r="AU23" s="53" t="s">
        <v>13</v>
      </c>
      <c r="AV23" s="53" t="s">
        <v>13</v>
      </c>
      <c r="AW23" s="53" t="s">
        <v>13</v>
      </c>
      <c r="AX23" s="53" t="s">
        <v>13</v>
      </c>
      <c r="AY23" s="53" t="s">
        <v>13</v>
      </c>
      <c r="AZ23" s="53" t="s">
        <v>13</v>
      </c>
      <c r="BA23" s="53" t="s">
        <v>13</v>
      </c>
      <c r="BB23" s="53" t="s">
        <v>13</v>
      </c>
      <c r="BC23" s="53" t="s">
        <v>12</v>
      </c>
      <c r="BD23" s="53" t="s">
        <v>17</v>
      </c>
      <c r="BE23" s="53" t="s">
        <v>17</v>
      </c>
      <c r="BF23" s="53" t="s">
        <v>17</v>
      </c>
      <c r="BG23" s="53" t="s">
        <v>165</v>
      </c>
      <c r="BH23" s="53" t="s">
        <v>165</v>
      </c>
      <c r="BI23" s="53" t="s">
        <v>165</v>
      </c>
      <c r="BJ23" s="53" t="s">
        <v>165</v>
      </c>
      <c r="BK23" s="53" t="s">
        <v>164</v>
      </c>
      <c r="BL23" s="53"/>
      <c r="BM23" s="53"/>
      <c r="BN23" s="53"/>
      <c r="BO23" s="53"/>
      <c r="BP23" s="53"/>
      <c r="BQ23" s="53"/>
      <c r="BR23" s="53"/>
      <c r="BS23" s="53"/>
    </row>
    <row r="24" spans="1:79" s="13" customFormat="1" ht="39.9" customHeight="1" x14ac:dyDescent="0.3">
      <c r="A24" s="59" t="s">
        <v>186</v>
      </c>
      <c r="B24" s="25"/>
      <c r="C24" s="23" t="e" cm="1">
        <f t="array" ref="C24">+_xlfn.XLOOKUP($A24,tab_projetos[nome_projeto],tab_projetos[[ganho_projetado]:[complexidade]])</f>
        <v>#N/A</v>
      </c>
      <c r="D24" s="24"/>
      <c r="E24" s="24"/>
      <c r="F24" s="24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 t="s">
        <v>191</v>
      </c>
      <c r="U24" s="53" t="s">
        <v>191</v>
      </c>
      <c r="V24" s="53" t="s">
        <v>191</v>
      </c>
      <c r="W24" s="53" t="s">
        <v>191</v>
      </c>
      <c r="X24" s="53" t="s">
        <v>191</v>
      </c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 t="s">
        <v>16</v>
      </c>
      <c r="AM24" s="53" t="s">
        <v>15</v>
      </c>
      <c r="AN24" s="53" t="s">
        <v>14</v>
      </c>
      <c r="AO24" s="53" t="s">
        <v>13</v>
      </c>
      <c r="AP24" s="53" t="s">
        <v>13</v>
      </c>
      <c r="AQ24" s="53" t="s">
        <v>13</v>
      </c>
      <c r="AR24" s="53" t="s">
        <v>13</v>
      </c>
      <c r="AS24" s="53" t="s">
        <v>12</v>
      </c>
      <c r="AT24" s="53" t="s">
        <v>17</v>
      </c>
      <c r="AU24" s="53" t="s">
        <v>18</v>
      </c>
      <c r="AV24" s="53" t="s">
        <v>165</v>
      </c>
      <c r="AW24" s="53" t="s">
        <v>164</v>
      </c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</row>
    <row r="25" spans="1:79" s="13" customFormat="1" ht="39.9" customHeight="1" x14ac:dyDescent="0.3">
      <c r="A25" s="59" t="s">
        <v>187</v>
      </c>
      <c r="B25" s="25"/>
      <c r="C25" s="23" t="e" cm="1">
        <f t="array" ref="C25">+_xlfn.XLOOKUP($A25,tab_projetos[nome_projeto],tab_projetos[[ganho_projetado]:[complexidade]])</f>
        <v>#N/A</v>
      </c>
      <c r="D25" s="24"/>
      <c r="E25" s="24"/>
      <c r="F25" s="24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 t="s">
        <v>191</v>
      </c>
      <c r="U25" s="53" t="s">
        <v>191</v>
      </c>
      <c r="V25" s="53" t="s">
        <v>191</v>
      </c>
      <c r="W25" s="53" t="s">
        <v>191</v>
      </c>
      <c r="X25" s="53" t="s">
        <v>191</v>
      </c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 t="s">
        <v>16</v>
      </c>
      <c r="AX25" s="53" t="s">
        <v>15</v>
      </c>
      <c r="AY25" s="53" t="s">
        <v>15</v>
      </c>
      <c r="AZ25" s="53" t="s">
        <v>15</v>
      </c>
      <c r="BA25" s="53" t="s">
        <v>14</v>
      </c>
      <c r="BB25" s="53" t="s">
        <v>14</v>
      </c>
      <c r="BC25" s="53" t="s">
        <v>13</v>
      </c>
      <c r="BD25" s="53" t="s">
        <v>13</v>
      </c>
      <c r="BE25" s="53" t="s">
        <v>13</v>
      </c>
      <c r="BF25" s="53" t="s">
        <v>13</v>
      </c>
      <c r="BG25" s="53" t="s">
        <v>13</v>
      </c>
      <c r="BH25" s="53" t="s">
        <v>13</v>
      </c>
      <c r="BI25" s="53" t="s">
        <v>13</v>
      </c>
      <c r="BJ25" s="53" t="s">
        <v>13</v>
      </c>
      <c r="BK25" s="53" t="s">
        <v>12</v>
      </c>
      <c r="BL25" s="53" t="s">
        <v>17</v>
      </c>
      <c r="BM25" s="53" t="s">
        <v>17</v>
      </c>
      <c r="BN25" s="53" t="s">
        <v>18</v>
      </c>
      <c r="BO25" s="53" t="s">
        <v>18</v>
      </c>
      <c r="BP25" s="53" t="s">
        <v>165</v>
      </c>
      <c r="BQ25" s="53" t="s">
        <v>165</v>
      </c>
      <c r="BR25" s="53" t="s">
        <v>164</v>
      </c>
      <c r="BS25" s="53"/>
    </row>
    <row r="26" spans="1:79" s="13" customFormat="1" ht="39.9" customHeight="1" x14ac:dyDescent="0.3">
      <c r="A26" s="60" t="s">
        <v>188</v>
      </c>
      <c r="C26" s="11" t="e" cm="1">
        <f t="array" ref="C26">+_xlfn.XLOOKUP($A26,tab_projetos[nome_projeto],tab_projetos[[ganho_projetado]:[complexidade]])</f>
        <v>#N/A</v>
      </c>
      <c r="D26" s="12"/>
      <c r="E26" s="12"/>
      <c r="F26" s="12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 t="s">
        <v>191</v>
      </c>
      <c r="U26" s="46" t="s">
        <v>191</v>
      </c>
      <c r="V26" s="46" t="s">
        <v>191</v>
      </c>
      <c r="W26" s="46" t="s">
        <v>191</v>
      </c>
      <c r="X26" s="46" t="s">
        <v>191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 t="s">
        <v>16</v>
      </c>
      <c r="BG26" s="46" t="s">
        <v>15</v>
      </c>
      <c r="BH26" s="46" t="s">
        <v>15</v>
      </c>
      <c r="BI26" s="46" t="s">
        <v>15</v>
      </c>
      <c r="BJ26" s="46" t="s">
        <v>14</v>
      </c>
      <c r="BK26" s="46" t="s">
        <v>14</v>
      </c>
      <c r="BL26" s="46" t="s">
        <v>13</v>
      </c>
      <c r="BM26" s="46" t="s">
        <v>13</v>
      </c>
      <c r="BN26" s="46" t="s">
        <v>13</v>
      </c>
      <c r="BO26" s="46" t="s">
        <v>13</v>
      </c>
      <c r="BP26" s="46" t="s">
        <v>13</v>
      </c>
      <c r="BQ26" s="46" t="s">
        <v>13</v>
      </c>
      <c r="BR26" s="46" t="s">
        <v>13</v>
      </c>
      <c r="BS26" s="46" t="s">
        <v>13</v>
      </c>
      <c r="BT26" s="13" t="s">
        <v>12</v>
      </c>
      <c r="BU26" s="13" t="s">
        <v>17</v>
      </c>
      <c r="BV26" s="13" t="s">
        <v>17</v>
      </c>
      <c r="BW26" s="13" t="s">
        <v>18</v>
      </c>
      <c r="BX26" s="13" t="s">
        <v>18</v>
      </c>
      <c r="BY26" s="13" t="s">
        <v>165</v>
      </c>
      <c r="BZ26" s="13" t="s">
        <v>165</v>
      </c>
      <c r="CA26" s="13" t="s">
        <v>164</v>
      </c>
    </row>
    <row r="27" spans="1:79" ht="30" customHeight="1" x14ac:dyDescent="0.4">
      <c r="A27" s="17" t="s">
        <v>55</v>
      </c>
      <c r="B27" s="18" t="str">
        <f>+_xlfn.XLOOKUP($A27,tab_recursos[nome_recurso],tab_recursos[foto_recurso],"")</f>
        <v/>
      </c>
      <c r="C27" s="19"/>
      <c r="D27" s="20"/>
      <c r="E27" s="20"/>
      <c r="F27" s="2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2"/>
      <c r="W27" s="52"/>
      <c r="X27" s="52"/>
      <c r="Y27" s="52"/>
      <c r="Z27" s="52"/>
      <c r="AA27" s="52"/>
      <c r="AB27" s="52"/>
      <c r="AC27" s="52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</row>
    <row r="28" spans="1:79" s="13" customFormat="1" ht="39.9" customHeight="1" x14ac:dyDescent="0.3">
      <c r="A28" s="25" t="s">
        <v>103</v>
      </c>
      <c r="B28" s="25"/>
      <c r="C28" s="23" t="e" cm="1">
        <f t="array" ref="C28">+_xlfn.XLOOKUP($A28,tab_projetos[nome_projeto],tab_projetos[[ganho_projetado]:[complexidade]])</f>
        <v>#N/A</v>
      </c>
      <c r="D28" s="24"/>
      <c r="E28" s="24"/>
      <c r="F28" s="24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 t="s">
        <v>14</v>
      </c>
      <c r="S28" s="53" t="s">
        <v>14</v>
      </c>
      <c r="T28" s="53" t="s">
        <v>13</v>
      </c>
      <c r="U28" s="53" t="s">
        <v>13</v>
      </c>
      <c r="V28" s="53" t="s">
        <v>13</v>
      </c>
      <c r="W28" s="53" t="s">
        <v>13</v>
      </c>
      <c r="X28" s="53"/>
      <c r="Y28" s="53" t="s">
        <v>12</v>
      </c>
      <c r="Z28" s="53" t="s">
        <v>17</v>
      </c>
      <c r="AA28" s="53" t="s">
        <v>17</v>
      </c>
      <c r="AB28" s="53" t="s">
        <v>18</v>
      </c>
      <c r="AC28" s="53" t="s">
        <v>18</v>
      </c>
      <c r="AD28" s="53" t="s">
        <v>165</v>
      </c>
      <c r="AE28" s="53" t="s">
        <v>165</v>
      </c>
      <c r="AF28" s="53" t="s">
        <v>164</v>
      </c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</row>
    <row r="29" spans="1:79" s="13" customFormat="1" ht="39.9" customHeight="1" x14ac:dyDescent="0.3">
      <c r="A29" s="25" t="s">
        <v>104</v>
      </c>
      <c r="B29" s="25"/>
      <c r="C29" s="23" t="e" cm="1">
        <f t="array" ref="C29">+_xlfn.XLOOKUP($A29,tab_projetos[nome_projeto],tab_projetos[[ganho_projetado]:[complexidade]])</f>
        <v>#N/A</v>
      </c>
      <c r="D29" s="24"/>
      <c r="E29" s="24"/>
      <c r="F29" s="24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 t="s">
        <v>14</v>
      </c>
      <c r="AJ29" s="53" t="s">
        <v>13</v>
      </c>
      <c r="AK29" s="53" t="s">
        <v>13</v>
      </c>
      <c r="AL29" s="53" t="s">
        <v>13</v>
      </c>
      <c r="AM29" s="53" t="s">
        <v>13</v>
      </c>
      <c r="AN29" s="53" t="s">
        <v>13</v>
      </c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</row>
    <row r="30" spans="1:79" s="13" customFormat="1" ht="39.9" customHeight="1" x14ac:dyDescent="0.3">
      <c r="A30" s="59" t="s">
        <v>186</v>
      </c>
      <c r="B30" s="25"/>
      <c r="C30" s="23" t="e" cm="1">
        <f t="array" ref="C30">+_xlfn.XLOOKUP($A30,tab_projetos[nome_projeto],tab_projetos[[ganho_projetado]:[complexidade]])</f>
        <v>#N/A</v>
      </c>
      <c r="D30" s="24"/>
      <c r="E30" s="24"/>
      <c r="F30" s="24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 t="s">
        <v>14</v>
      </c>
      <c r="AO30" s="53" t="s">
        <v>13</v>
      </c>
      <c r="AP30" s="53" t="s">
        <v>13</v>
      </c>
      <c r="AQ30" s="53" t="s">
        <v>13</v>
      </c>
      <c r="AR30" s="53" t="s">
        <v>13</v>
      </c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</row>
    <row r="31" spans="1:79" s="13" customFormat="1" ht="39.9" customHeight="1" x14ac:dyDescent="0.3">
      <c r="A31" s="59" t="s">
        <v>187</v>
      </c>
      <c r="B31" s="25"/>
      <c r="C31" s="23" t="e" cm="1">
        <f t="array" ref="C31">+_xlfn.XLOOKUP($A31,tab_projetos[nome_projeto],tab_projetos[[ganho_projetado]:[complexidade]])</f>
        <v>#N/A</v>
      </c>
      <c r="D31" s="24"/>
      <c r="E31" s="24"/>
      <c r="F31" s="24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</row>
    <row r="32" spans="1:79" s="13" customFormat="1" ht="39.9" customHeight="1" x14ac:dyDescent="0.3">
      <c r="A32" s="60" t="s">
        <v>188</v>
      </c>
      <c r="C32" s="11" t="e" cm="1">
        <f t="array" ref="C32">+_xlfn.XLOOKUP($A32,tab_projetos[nome_projeto],tab_projetos[[ganho_projetado]:[complexidade]])</f>
        <v>#N/A</v>
      </c>
      <c r="D32" s="12"/>
      <c r="E32" s="12"/>
      <c r="F32" s="12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</row>
    <row r="33" spans="1:71" ht="30" customHeight="1" x14ac:dyDescent="0.4">
      <c r="A33" s="17" t="s">
        <v>56</v>
      </c>
      <c r="B33" s="18" t="e" vm="2">
        <f>+_xlfn.XLOOKUP($A33,tab_recursos[nome_recurso],tab_recursos[foto_recurso],"")</f>
        <v>#VALUE!</v>
      </c>
      <c r="C33" s="19"/>
      <c r="D33" s="20"/>
      <c r="E33" s="20"/>
      <c r="F33" s="20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2"/>
      <c r="W33" s="52"/>
      <c r="X33" s="52"/>
      <c r="Y33" s="52"/>
      <c r="Z33" s="52"/>
      <c r="AA33" s="52"/>
      <c r="AB33" s="52"/>
      <c r="AC33" s="52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</row>
    <row r="34" spans="1:71" s="13" customFormat="1" ht="39.9" customHeight="1" x14ac:dyDescent="0.3">
      <c r="A34" s="25" t="s">
        <v>103</v>
      </c>
      <c r="B34" s="25"/>
      <c r="C34" s="23" t="e" cm="1">
        <f t="array" ref="C34">+_xlfn.XLOOKUP($A34,tab_projetos[nome_projeto],tab_projetos[[ganho_projetado]:[complexidade]])</f>
        <v>#N/A</v>
      </c>
      <c r="D34" s="24"/>
      <c r="E34" s="24"/>
      <c r="F34" s="24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 t="s">
        <v>14</v>
      </c>
      <c r="S34" s="53" t="s">
        <v>14</v>
      </c>
      <c r="T34" s="53" t="s">
        <v>13</v>
      </c>
      <c r="U34" s="53" t="s">
        <v>13</v>
      </c>
      <c r="V34" s="53" t="s">
        <v>13</v>
      </c>
      <c r="W34" s="53" t="s">
        <v>13</v>
      </c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</row>
    <row r="35" spans="1:71" s="13" customFormat="1" ht="39.9" customHeight="1" x14ac:dyDescent="0.3">
      <c r="A35" s="25" t="s">
        <v>102</v>
      </c>
      <c r="B35" s="25"/>
      <c r="C35" s="23" t="e" cm="1">
        <f t="array" ref="C35">+_xlfn.XLOOKUP($A35,tab_projetos[nome_projeto],tab_projetos[[ganho_projetado]:[complexidade]])</f>
        <v>#N/A</v>
      </c>
      <c r="D35" s="24"/>
      <c r="E35" s="24"/>
      <c r="F35" s="24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 t="s">
        <v>14</v>
      </c>
      <c r="T35" s="53" t="s">
        <v>13</v>
      </c>
      <c r="U35" s="53" t="s">
        <v>13</v>
      </c>
      <c r="V35" s="53" t="s">
        <v>13</v>
      </c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</row>
    <row r="36" spans="1:71" s="13" customFormat="1" ht="39.9" customHeight="1" x14ac:dyDescent="0.3">
      <c r="A36" s="25" t="s">
        <v>104</v>
      </c>
      <c r="B36" s="25"/>
      <c r="C36" s="23" t="e" cm="1">
        <f t="array" ref="C36">+_xlfn.XLOOKUP($A36,tab_projetos[nome_projeto],tab_projetos[[ganho_projetado]:[complexidade]])</f>
        <v>#N/A</v>
      </c>
      <c r="D36" s="24"/>
      <c r="E36" s="24"/>
      <c r="F36" s="24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</row>
    <row r="37" spans="1:71" s="13" customFormat="1" ht="39.9" customHeight="1" x14ac:dyDescent="0.3">
      <c r="A37" s="59" t="s">
        <v>105</v>
      </c>
      <c r="B37" s="25"/>
      <c r="C37" s="23" cm="1">
        <f t="array" ref="C37:F37">+_xlfn.XLOOKUP($A37,tab_projetos[nome_projeto],tab_projetos[[ganho_projetado]:[complexidade]])</f>
        <v>3600000</v>
      </c>
      <c r="D37" s="24" t="str">
        <v>Evolução do Produto</v>
      </c>
      <c r="E37" s="24" t="str">
        <v>Evolução, Melhoria ou Adequação</v>
      </c>
      <c r="F37" s="24" t="str">
        <v>Muito Alta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 t="s">
        <v>14</v>
      </c>
      <c r="AM37" s="53" t="s">
        <v>13</v>
      </c>
      <c r="AN37" s="53" t="s">
        <v>13</v>
      </c>
      <c r="AO37" s="53" t="s">
        <v>13</v>
      </c>
      <c r="AP37" s="53" t="s">
        <v>13</v>
      </c>
      <c r="AQ37" s="53" t="s">
        <v>13</v>
      </c>
      <c r="AR37" s="53" t="s">
        <v>13</v>
      </c>
      <c r="AS37" s="53" t="s">
        <v>13</v>
      </c>
      <c r="AT37" s="53" t="s">
        <v>13</v>
      </c>
      <c r="AU37" s="53" t="s">
        <v>13</v>
      </c>
      <c r="AV37" s="53" t="s">
        <v>13</v>
      </c>
      <c r="AW37" s="53" t="s">
        <v>13</v>
      </c>
      <c r="AX37" s="53" t="s">
        <v>13</v>
      </c>
      <c r="AY37" s="53" t="s">
        <v>13</v>
      </c>
      <c r="AZ37" s="53" t="s">
        <v>13</v>
      </c>
      <c r="BA37" s="53" t="s">
        <v>13</v>
      </c>
      <c r="BB37" s="53" t="s">
        <v>13</v>
      </c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</row>
    <row r="38" spans="1:71" s="13" customFormat="1" ht="39.9" customHeight="1" x14ac:dyDescent="0.3">
      <c r="A38" s="59" t="s">
        <v>186</v>
      </c>
      <c r="B38" s="25"/>
      <c r="C38" s="23" t="e" cm="1">
        <f t="array" ref="C38">+_xlfn.XLOOKUP($A38,tab_projetos[nome_projeto],tab_projetos[[ganho_projetado]:[complexidade]])</f>
        <v>#N/A</v>
      </c>
      <c r="D38" s="24"/>
      <c r="E38" s="24"/>
      <c r="F38" s="24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 t="s">
        <v>14</v>
      </c>
      <c r="AO38" s="53" t="s">
        <v>13</v>
      </c>
      <c r="AP38" s="53" t="s">
        <v>13</v>
      </c>
      <c r="AQ38" s="53" t="s">
        <v>13</v>
      </c>
      <c r="AR38" s="53" t="s">
        <v>13</v>
      </c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</row>
    <row r="39" spans="1:71" s="13" customFormat="1" ht="39.9" customHeight="1" x14ac:dyDescent="0.3">
      <c r="A39" s="59" t="s">
        <v>187</v>
      </c>
      <c r="B39" s="25"/>
      <c r="C39" s="23" t="e" cm="1">
        <f t="array" ref="C39">+_xlfn.XLOOKUP($A39,tab_projetos[nome_projeto],tab_projetos[[ganho_projetado]:[complexidade]])</f>
        <v>#N/A</v>
      </c>
      <c r="D39" s="24"/>
      <c r="E39" s="24"/>
      <c r="F39" s="24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</row>
    <row r="40" spans="1:71" s="13" customFormat="1" ht="39.9" customHeight="1" x14ac:dyDescent="0.3">
      <c r="A40" s="60" t="s">
        <v>188</v>
      </c>
      <c r="C40" s="11" t="e" cm="1">
        <f t="array" ref="C40">+_xlfn.XLOOKUP($A40,tab_projetos[nome_projeto],tab_projetos[[ganho_projetado]:[complexidade]])</f>
        <v>#N/A</v>
      </c>
      <c r="D40" s="12"/>
      <c r="E40" s="12"/>
      <c r="F40" s="12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</row>
    <row r="41" spans="1:71" ht="30" customHeight="1" x14ac:dyDescent="0.4">
      <c r="A41" s="17" t="s">
        <v>57</v>
      </c>
      <c r="B41" s="18" t="e" vm="3">
        <f>+_xlfn.XLOOKUP($A41,tab_recursos[nome_recurso],tab_recursos[foto_recurso],"")</f>
        <v>#VALUE!</v>
      </c>
      <c r="C41" s="19"/>
      <c r="D41" s="20"/>
      <c r="E41" s="20"/>
      <c r="F41" s="20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2"/>
      <c r="W41" s="52"/>
      <c r="X41" s="52"/>
      <c r="Y41" s="52"/>
      <c r="Z41" s="52"/>
      <c r="AA41" s="52"/>
      <c r="AB41" s="52"/>
      <c r="AC41" s="52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</row>
    <row r="42" spans="1:71" s="13" customFormat="1" ht="39.9" customHeight="1" x14ac:dyDescent="0.3">
      <c r="A42" s="26" t="s">
        <v>102</v>
      </c>
      <c r="B42" s="26"/>
      <c r="C42" s="21" t="e" cm="1">
        <f t="array" ref="C42">+_xlfn.XLOOKUP($A42,tab_projetos[nome_projeto],tab_projetos[[ganho_projetado]:[complexidade]])</f>
        <v>#N/A</v>
      </c>
      <c r="D42" s="22"/>
      <c r="E42" s="22"/>
      <c r="F42" s="22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 t="s">
        <v>14</v>
      </c>
      <c r="T42" s="54" t="s">
        <v>13</v>
      </c>
      <c r="U42" s="54" t="s">
        <v>13</v>
      </c>
      <c r="V42" s="54" t="s">
        <v>13</v>
      </c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</row>
    <row r="43" spans="1:71" s="13" customFormat="1" ht="39.9" customHeight="1" x14ac:dyDescent="0.3">
      <c r="A43" s="25" t="s">
        <v>105</v>
      </c>
      <c r="B43" s="25"/>
      <c r="C43" s="23"/>
      <c r="D43" s="24"/>
      <c r="E43" s="24"/>
      <c r="F43" s="24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 t="s">
        <v>14</v>
      </c>
      <c r="AM43" s="53" t="s">
        <v>13</v>
      </c>
      <c r="AN43" s="53" t="s">
        <v>13</v>
      </c>
      <c r="AO43" s="53" t="s">
        <v>13</v>
      </c>
      <c r="AP43" s="53" t="s">
        <v>13</v>
      </c>
      <c r="AQ43" s="53" t="s">
        <v>13</v>
      </c>
      <c r="AR43" s="53" t="s">
        <v>13</v>
      </c>
      <c r="AS43" s="53" t="s">
        <v>13</v>
      </c>
      <c r="AT43" s="53" t="s">
        <v>13</v>
      </c>
      <c r="AU43" s="53" t="s">
        <v>13</v>
      </c>
      <c r="AV43" s="53" t="s">
        <v>13</v>
      </c>
      <c r="AW43" s="53" t="s">
        <v>13</v>
      </c>
      <c r="AX43" s="53" t="s">
        <v>13</v>
      </c>
      <c r="AY43" s="53" t="s">
        <v>13</v>
      </c>
      <c r="AZ43" s="53" t="s">
        <v>13</v>
      </c>
      <c r="BA43" s="53" t="s">
        <v>13</v>
      </c>
      <c r="BB43" s="53" t="s">
        <v>13</v>
      </c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</row>
  </sheetData>
  <conditionalFormatting sqref="G6:BS1010">
    <cfRule type="cellIs" dxfId="26" priority="1" operator="equal">
      <formula>"IN"</formula>
    </cfRule>
    <cfRule type="cellIs" dxfId="25" priority="2" operator="equal">
      <formula>"ES"</formula>
    </cfRule>
    <cfRule type="cellIs" dxfId="24" priority="3" operator="equal">
      <formula>"PL"</formula>
    </cfRule>
    <cfRule type="cellIs" dxfId="23" priority="4" operator="equal">
      <formula>"DE"</formula>
    </cfRule>
    <cfRule type="cellIs" dxfId="22" priority="5" operator="equal">
      <formula>"QA"</formula>
    </cfRule>
    <cfRule type="cellIs" dxfId="21" priority="6" operator="equal">
      <formula>"HO"</formula>
    </cfRule>
    <cfRule type="cellIs" dxfId="20" priority="7" operator="equal">
      <formula>"IM"</formula>
    </cfRule>
    <cfRule type="cellIs" dxfId="19" priority="8" operator="equal">
      <formula>"OA"</formula>
    </cfRule>
    <cfRule type="cellIs" dxfId="18" priority="9" operator="equal">
      <formula>"EN"</formula>
    </cfRule>
  </conditionalFormatting>
  <pageMargins left="0.25" right="0.25" top="0.75" bottom="0.75" header="0.3" footer="0.3"/>
  <pageSetup paperSize="8" scale="4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BD502E1-6900-427A-B209-88E895790CC7}">
          <x14:formula1>
            <xm:f>tab_etapas!$C$2:$C$1000</xm:f>
          </x14:formula1>
          <xm:sqref>G28:BS32 G42:BS44 G20:BS26 G34:BS40</xm:sqref>
        </x14:dataValidation>
        <x14:dataValidation type="list" allowBlank="1" showInputMessage="1" showErrorMessage="1" xr:uid="{5FD29102-9FF3-4CC6-8B48-94FDA3FFE3E1}">
          <x14:formula1>
            <xm:f>tab_recursos!$B$2:$B$1000</xm:f>
          </x14:formula1>
          <xm:sqref>A19:B19 A27:B27 A33:B33 A41:B41</xm:sqref>
        </x14:dataValidation>
        <x14:dataValidation type="list" allowBlank="1" showInputMessage="1" showErrorMessage="1" xr:uid="{76FFB34C-443E-4A12-B94A-729AFC35BED9}">
          <x14:formula1>
            <xm:f>tab_projetos!$C$2:$C$992</xm:f>
          </x14:formula1>
          <xm:sqref>A28:A32 A34:A40 A20:B26 A42:A1015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12B4-EAD0-49A8-A4AC-E2DC68A47BB9}">
  <sheetPr codeName="Planilha15">
    <outlinePr summaryBelow="0" summaryRight="0"/>
    <pageSetUpPr fitToPage="1"/>
  </sheetPr>
  <dimension ref="A2:BY43"/>
  <sheetViews>
    <sheetView showGridLines="0" topLeftCell="A24" zoomScale="55" zoomScaleNormal="55" workbookViewId="0">
      <selection activeCell="N20" sqref="N20:BS26"/>
    </sheetView>
  </sheetViews>
  <sheetFormatPr defaultColWidth="9.109375" defaultRowHeight="18" outlineLevelCol="1" x14ac:dyDescent="0.4"/>
  <cols>
    <col min="1" max="1" width="60.6640625" style="10" customWidth="1"/>
    <col min="2" max="2" width="6.6640625" style="10" customWidth="1" collapsed="1"/>
    <col min="3" max="3" width="25.6640625" style="11" hidden="1" customWidth="1" outlineLevel="1"/>
    <col min="4" max="4" width="25.6640625" style="12" hidden="1" customWidth="1" outlineLevel="1"/>
    <col min="5" max="5" width="40.6640625" style="12" hidden="1" customWidth="1" outlineLevel="1"/>
    <col min="6" max="6" width="25.6640625" style="12" hidden="1" customWidth="1" outlineLevel="1"/>
    <col min="7" max="71" width="6.33203125" style="12" customWidth="1"/>
    <col min="72" max="16384" width="9.109375" style="10"/>
  </cols>
  <sheetData>
    <row r="2" spans="1:71" s="33" customFormat="1" ht="21.6" x14ac:dyDescent="0.5">
      <c r="C2" s="34"/>
      <c r="D2" s="35"/>
      <c r="E2" s="35"/>
      <c r="F2" s="35"/>
      <c r="G2" s="36" t="s">
        <v>162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</row>
    <row r="3" spans="1:71" x14ac:dyDescent="0.4">
      <c r="G3" s="39" t="s">
        <v>142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  <c r="T3" s="39" t="s">
        <v>143</v>
      </c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1"/>
      <c r="AG3" s="39" t="s">
        <v>144</v>
      </c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1"/>
      <c r="AT3" s="39" t="s">
        <v>145</v>
      </c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1"/>
      <c r="BG3" s="39" t="s">
        <v>146</v>
      </c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1"/>
    </row>
    <row r="4" spans="1:71" x14ac:dyDescent="0.4">
      <c r="G4" s="39" t="s">
        <v>137</v>
      </c>
      <c r="H4" s="40"/>
      <c r="I4" s="40"/>
      <c r="J4" s="40"/>
      <c r="K4" s="41"/>
      <c r="L4" s="39" t="s">
        <v>138</v>
      </c>
      <c r="M4" s="40"/>
      <c r="N4" s="40"/>
      <c r="O4" s="41"/>
      <c r="P4" s="39" t="s">
        <v>139</v>
      </c>
      <c r="Q4" s="40"/>
      <c r="R4" s="40"/>
      <c r="S4" s="41"/>
      <c r="T4" s="39" t="s">
        <v>128</v>
      </c>
      <c r="U4" s="40"/>
      <c r="V4" s="40"/>
      <c r="W4" s="40"/>
      <c r="X4" s="41"/>
      <c r="Y4" s="39" t="s">
        <v>129</v>
      </c>
      <c r="Z4" s="40"/>
      <c r="AA4" s="40"/>
      <c r="AB4" s="41"/>
      <c r="AC4" s="39" t="s">
        <v>130</v>
      </c>
      <c r="AD4" s="40"/>
      <c r="AE4" s="40"/>
      <c r="AF4" s="41"/>
      <c r="AG4" s="39" t="s">
        <v>131</v>
      </c>
      <c r="AH4" s="40"/>
      <c r="AI4" s="40"/>
      <c r="AJ4" s="40"/>
      <c r="AK4" s="41"/>
      <c r="AL4" s="39" t="s">
        <v>132</v>
      </c>
      <c r="AM4" s="40"/>
      <c r="AN4" s="40"/>
      <c r="AO4" s="41"/>
      <c r="AP4" s="39" t="s">
        <v>133</v>
      </c>
      <c r="AQ4" s="40"/>
      <c r="AR4" s="40"/>
      <c r="AS4" s="41"/>
      <c r="AT4" s="39" t="s">
        <v>134</v>
      </c>
      <c r="AU4" s="40"/>
      <c r="AV4" s="40"/>
      <c r="AW4" s="40"/>
      <c r="AX4" s="41"/>
      <c r="AY4" s="39" t="s">
        <v>135</v>
      </c>
      <c r="AZ4" s="40"/>
      <c r="BA4" s="40"/>
      <c r="BB4" s="41"/>
      <c r="BC4" s="39" t="s">
        <v>136</v>
      </c>
      <c r="BD4" s="40"/>
      <c r="BE4" s="40"/>
      <c r="BF4" s="41"/>
      <c r="BG4" s="39" t="s">
        <v>137</v>
      </c>
      <c r="BH4" s="40"/>
      <c r="BI4" s="40"/>
      <c r="BJ4" s="40"/>
      <c r="BK4" s="41"/>
      <c r="BL4" s="39" t="s">
        <v>138</v>
      </c>
      <c r="BM4" s="40"/>
      <c r="BN4" s="40"/>
      <c r="BO4" s="41"/>
      <c r="BP4" s="39" t="s">
        <v>139</v>
      </c>
      <c r="BQ4" s="40"/>
      <c r="BR4" s="40"/>
      <c r="BS4" s="41"/>
    </row>
    <row r="5" spans="1:71" x14ac:dyDescent="0.4">
      <c r="A5" s="15" t="s">
        <v>119</v>
      </c>
      <c r="B5" s="15"/>
      <c r="C5" s="16" t="s">
        <v>158</v>
      </c>
      <c r="D5" s="14" t="s">
        <v>159</v>
      </c>
      <c r="E5" s="14" t="s">
        <v>160</v>
      </c>
      <c r="F5" s="14" t="s">
        <v>161</v>
      </c>
      <c r="G5" s="37">
        <v>40</v>
      </c>
      <c r="H5" s="12">
        <v>41</v>
      </c>
      <c r="I5" s="12">
        <v>42</v>
      </c>
      <c r="J5" s="12">
        <v>43</v>
      </c>
      <c r="K5" s="38">
        <v>44</v>
      </c>
      <c r="L5" s="37">
        <v>45</v>
      </c>
      <c r="M5" s="12">
        <v>46</v>
      </c>
      <c r="N5" s="12">
        <v>47</v>
      </c>
      <c r="O5" s="38">
        <v>48</v>
      </c>
      <c r="P5" s="37">
        <v>49</v>
      </c>
      <c r="Q5" s="12">
        <v>50</v>
      </c>
      <c r="R5" s="12">
        <v>51</v>
      </c>
      <c r="S5" s="38">
        <v>52</v>
      </c>
      <c r="T5" s="37">
        <v>1</v>
      </c>
      <c r="U5" s="12">
        <v>2</v>
      </c>
      <c r="V5" s="12">
        <v>3</v>
      </c>
      <c r="W5" s="12">
        <v>4</v>
      </c>
      <c r="X5" s="38">
        <v>5</v>
      </c>
      <c r="Y5" s="37">
        <v>6</v>
      </c>
      <c r="Z5" s="12">
        <v>7</v>
      </c>
      <c r="AA5" s="12">
        <v>8</v>
      </c>
      <c r="AB5" s="38">
        <v>9</v>
      </c>
      <c r="AC5" s="37">
        <v>10</v>
      </c>
      <c r="AD5" s="12">
        <v>11</v>
      </c>
      <c r="AE5" s="12">
        <v>12</v>
      </c>
      <c r="AF5" s="38">
        <v>13</v>
      </c>
      <c r="AG5" s="37">
        <v>14</v>
      </c>
      <c r="AH5" s="12">
        <v>15</v>
      </c>
      <c r="AI5" s="12">
        <v>16</v>
      </c>
      <c r="AJ5" s="12">
        <v>17</v>
      </c>
      <c r="AK5" s="38">
        <v>18</v>
      </c>
      <c r="AL5" s="37">
        <v>19</v>
      </c>
      <c r="AM5" s="12">
        <v>20</v>
      </c>
      <c r="AN5" s="12">
        <v>21</v>
      </c>
      <c r="AO5" s="38">
        <v>22</v>
      </c>
      <c r="AP5" s="37">
        <v>23</v>
      </c>
      <c r="AQ5" s="12">
        <v>24</v>
      </c>
      <c r="AR5" s="12">
        <v>25</v>
      </c>
      <c r="AS5" s="38">
        <v>26</v>
      </c>
      <c r="AT5" s="37">
        <v>27</v>
      </c>
      <c r="AU5" s="12">
        <v>28</v>
      </c>
      <c r="AV5" s="12">
        <v>29</v>
      </c>
      <c r="AW5" s="12">
        <v>30</v>
      </c>
      <c r="AX5" s="38">
        <v>31</v>
      </c>
      <c r="AY5" s="37">
        <v>32</v>
      </c>
      <c r="AZ5" s="12">
        <v>33</v>
      </c>
      <c r="BA5" s="12">
        <v>34</v>
      </c>
      <c r="BB5" s="38">
        <v>35</v>
      </c>
      <c r="BC5" s="37">
        <v>36</v>
      </c>
      <c r="BD5" s="12">
        <v>37</v>
      </c>
      <c r="BE5" s="12">
        <v>38</v>
      </c>
      <c r="BF5" s="38">
        <v>39</v>
      </c>
      <c r="BG5" s="37">
        <v>40</v>
      </c>
      <c r="BH5" s="12">
        <v>41</v>
      </c>
      <c r="BI5" s="12">
        <v>42</v>
      </c>
      <c r="BJ5" s="12">
        <v>43</v>
      </c>
      <c r="BK5" s="38">
        <v>44</v>
      </c>
      <c r="BL5" s="37">
        <v>45</v>
      </c>
      <c r="BM5" s="12">
        <v>46</v>
      </c>
      <c r="BN5" s="12">
        <v>47</v>
      </c>
      <c r="BO5" s="38">
        <v>48</v>
      </c>
      <c r="BP5" s="37">
        <v>49</v>
      </c>
      <c r="BQ5" s="12">
        <v>50</v>
      </c>
      <c r="BR5" s="12">
        <v>51</v>
      </c>
      <c r="BS5" s="38">
        <v>52</v>
      </c>
    </row>
    <row r="6" spans="1:71" s="13" customFormat="1" ht="39.9" customHeight="1" x14ac:dyDescent="0.3">
      <c r="A6" s="56" t="str" cm="1">
        <f t="array" ref="A6:A13">_xlfn._xlws.FILTER(_xlfn.CHOOSECOLS((_xlfn._xlws.SORT(tab_projetos[[nome_projeto]:[complexidade]],3,1)),1),(tab_projetos[nome_squad]="Echo BR"))</f>
        <v>SISTEMATIZACAO DO FRETE AVULSO (FRETE 2)</v>
      </c>
      <c r="B6" s="26"/>
      <c r="C6" s="21" cm="1">
        <f t="array" ref="C6:F13">_xlfn._xlws.FILTER(_xlfn.CHOOSECOLS((_xlfn._xlws.SORT(tab_projetos[[nome_projeto]:[complexidade]],3,1)),4,5,6,7),(tab_projetos[nome_squad]="Echo BR"))</f>
        <v>0</v>
      </c>
      <c r="D6" s="22" t="str">
        <v>Melhoria de Processo</v>
      </c>
      <c r="E6" s="22" t="str">
        <v>Evolução, Melhoria ou Adequação</v>
      </c>
      <c r="F6" s="22" t="str">
        <v>Alta</v>
      </c>
      <c r="G6" s="42" t="str" cm="1">
        <f t="array" ref="G6">+IFERROR(_xlfn.CONCAT(_xlfn.UNIQUE(_xlfn._xlws.FILTER(G$19:G$1010,(($A$19:$A$1010=$A6)*(G$19:G$1010&lt;&gt;0)*(G$19:G$1010&lt;&gt;"F"))))),"")</f>
        <v/>
      </c>
      <c r="H6" s="43" t="str" cm="1">
        <f t="array" ref="H6">+IFERROR(_xlfn.CONCAT(_xlfn.UNIQUE(_xlfn._xlws.FILTER(H$19:H$1010,(($A$19:$A$1010=$A6)*(H$19:H$1010&lt;&gt;0)*(H$19:H$1010&lt;&gt;"F"))))),"")</f>
        <v/>
      </c>
      <c r="I6" s="43" t="str" cm="1">
        <f t="array" ref="I6">+IFERROR(_xlfn.CONCAT(_xlfn.UNIQUE(_xlfn._xlws.FILTER(I$19:I$1010,(($A$19:$A$1010=$A6)*(I$19:I$1010&lt;&gt;0)*(I$19:I$1010&lt;&gt;"F"))))),"")</f>
        <v/>
      </c>
      <c r="J6" s="43" t="str" cm="1">
        <f t="array" ref="J6">+IFERROR(_xlfn.CONCAT(_xlfn.UNIQUE(_xlfn._xlws.FILTER(J$19:J$1010,(($A$19:$A$1010=$A6)*(J$19:J$1010&lt;&gt;0)*(J$19:J$1010&lt;&gt;"F"))))),"")</f>
        <v/>
      </c>
      <c r="K6" s="44" t="str" cm="1">
        <f t="array" ref="K6">+IFERROR(_xlfn.CONCAT(_xlfn.UNIQUE(_xlfn._xlws.FILTER(K$19:K$1010,(($A$19:$A$1010=$A6)*(K$19:K$1010&lt;&gt;0)*(K$19:K$1010&lt;&gt;"F"))))),"")</f>
        <v/>
      </c>
      <c r="L6" s="42" t="str" cm="1">
        <f t="array" ref="L6">+IFERROR(_xlfn.CONCAT(_xlfn.UNIQUE(_xlfn._xlws.FILTER(L$19:L$1010,(($A$19:$A$1010=$A6)*(L$19:L$1010&lt;&gt;0)*(L$19:L$1010&lt;&gt;"F"))))),"")</f>
        <v/>
      </c>
      <c r="M6" s="43" t="str" cm="1">
        <f t="array" ref="M6">+IFERROR(_xlfn.CONCAT(_xlfn.UNIQUE(_xlfn._xlws.FILTER(M$19:M$1010,(($A$19:$A$1010=$A6)*(M$19:M$1010&lt;&gt;0)*(M$19:M$1010&lt;&gt;"F"))))),"")</f>
        <v/>
      </c>
      <c r="N6" s="43" t="str" cm="1">
        <f t="array" ref="N6">+IFERROR(_xlfn.CONCAT(_xlfn.UNIQUE(_xlfn._xlws.FILTER(N$19:N$1010,(($A$19:$A$1010=$A6)*(N$19:N$1010&lt;&gt;0)*(N$19:N$1010&lt;&gt;"F"))))),"")</f>
        <v/>
      </c>
      <c r="O6" s="44" t="str" cm="1">
        <f t="array" ref="O6">+IFERROR(_xlfn.CONCAT(_xlfn.UNIQUE(_xlfn._xlws.FILTER(O$19:O$1010,(($A$19:$A$1010=$A6)*(O$19:O$1010&lt;&gt;0)*(O$19:O$1010&lt;&gt;"F"))))),"")</f>
        <v/>
      </c>
      <c r="P6" s="42" t="str" cm="1">
        <f t="array" ref="P6">+IFERROR(_xlfn.CONCAT(_xlfn.UNIQUE(_xlfn._xlws.FILTER(P$19:P$1010,(($A$19:$A$1010=$A6)*(P$19:P$1010&lt;&gt;0)*(P$19:P$1010&lt;&gt;"F"))))),"")</f>
        <v/>
      </c>
      <c r="Q6" s="43" t="str" cm="1">
        <f t="array" ref="Q6">+IFERROR(_xlfn.CONCAT(_xlfn.UNIQUE(_xlfn._xlws.FILTER(Q$19:Q$1010,(($A$19:$A$1010=$A6)*(Q$19:Q$1010&lt;&gt;0)*(Q$19:Q$1010&lt;&gt;"F"))))),"")</f>
        <v/>
      </c>
      <c r="R6" s="43" t="str" cm="1">
        <f t="array" ref="R6">+IFERROR(_xlfn.CONCAT(_xlfn.UNIQUE(_xlfn._xlws.FILTER(R$19:R$1010,(($A$19:$A$1010=$A6)*(R$19:R$1010&lt;&gt;0)*(R$19:R$1010&lt;&gt;"F"))))),"")</f>
        <v/>
      </c>
      <c r="S6" s="44" t="str" cm="1">
        <f t="array" ref="S6">+IFERROR(_xlfn.CONCAT(_xlfn.UNIQUE(_xlfn._xlws.FILTER(S$19:S$1010,(($A$19:$A$1010=$A6)*(S$19:S$1010&lt;&gt;0)*(S$19:S$1010&lt;&gt;"F"))))),"")</f>
        <v/>
      </c>
      <c r="T6" s="42" t="str" cm="1">
        <f t="array" ref="T6">+IFERROR(_xlfn.CONCAT(_xlfn.UNIQUE(_xlfn._xlws.FILTER(T$19:T$1010,(($A$19:$A$1010=$A6)*(T$19:T$1010&lt;&gt;0)*(T$19:T$1010&lt;&gt;"F"))))),"")</f>
        <v/>
      </c>
      <c r="U6" s="43" t="str" cm="1">
        <f t="array" ref="U6">+IFERROR(_xlfn.CONCAT(_xlfn.UNIQUE(_xlfn._xlws.FILTER(U$19:U$1010,(($A$19:$A$1010=$A6)*(U$19:U$1010&lt;&gt;0)*(U$19:U$1010&lt;&gt;"F"))))),"")</f>
        <v/>
      </c>
      <c r="V6" s="43" t="str" cm="1">
        <f t="array" ref="V6">+IFERROR(_xlfn.CONCAT(_xlfn.UNIQUE(_xlfn._xlws.FILTER(V$19:V$1010,(($A$19:$A$1010=$A6)*(V$19:V$1010&lt;&gt;0)*(V$19:V$1010&lt;&gt;"F"))))),"")</f>
        <v/>
      </c>
      <c r="W6" s="43" t="str" cm="1">
        <f t="array" ref="W6">+IFERROR(_xlfn.CONCAT(_xlfn.UNIQUE(_xlfn._xlws.FILTER(W$19:W$1010,(($A$19:$A$1010=$A6)*(W$19:W$1010&lt;&gt;0)*(W$19:W$1010&lt;&gt;"F"))))),"")</f>
        <v/>
      </c>
      <c r="X6" s="44" t="str" cm="1">
        <f t="array" ref="X6">+IFERROR(_xlfn.CONCAT(_xlfn.UNIQUE(_xlfn._xlws.FILTER(X$19:X$1010,(($A$19:$A$1010=$A6)*(X$19:X$1010&lt;&gt;0)*(X$19:X$1010&lt;&gt;"F"))))),"")</f>
        <v/>
      </c>
      <c r="Y6" s="42" t="str" cm="1">
        <f t="array" ref="Y6">+IFERROR(_xlfn.CONCAT(_xlfn.UNIQUE(_xlfn._xlws.FILTER(Y$19:Y$1010,(($A$19:$A$1010=$A6)*(Y$19:Y$1010&lt;&gt;0)*(Y$19:Y$1010&lt;&gt;"F"))))),"")</f>
        <v/>
      </c>
      <c r="Z6" s="43" t="str" cm="1">
        <f t="array" ref="Z6">+IFERROR(_xlfn.CONCAT(_xlfn.UNIQUE(_xlfn._xlws.FILTER(Z$19:Z$1010,(($A$19:$A$1010=$A6)*(Z$19:Z$1010&lt;&gt;0)*(Z$19:Z$1010&lt;&gt;"F"))))),"")</f>
        <v/>
      </c>
      <c r="AA6" s="43" t="str" cm="1">
        <f t="array" ref="AA6">+IFERROR(_xlfn.CONCAT(_xlfn.UNIQUE(_xlfn._xlws.FILTER(AA$19:AA$1010,(($A$19:$A$1010=$A6)*(AA$19:AA$1010&lt;&gt;0)*(AA$19:AA$1010&lt;&gt;"F"))))),"")</f>
        <v/>
      </c>
      <c r="AB6" s="44" t="str" cm="1">
        <f t="array" ref="AB6">+IFERROR(_xlfn.CONCAT(_xlfn.UNIQUE(_xlfn._xlws.FILTER(AB$19:AB$1010,(($A$19:$A$1010=$A6)*(AB$19:AB$1010&lt;&gt;0)*(AB$19:AB$1010&lt;&gt;"F"))))),"")</f>
        <v/>
      </c>
      <c r="AC6" s="42" t="str" cm="1">
        <f t="array" ref="AC6">+IFERROR(_xlfn.CONCAT(_xlfn.UNIQUE(_xlfn._xlws.FILTER(AC$19:AC$1010,(($A$19:$A$1010=$A6)*(AC$19:AC$1010&lt;&gt;0)*(AC$19:AC$1010&lt;&gt;"F"))))),"")</f>
        <v/>
      </c>
      <c r="AD6" s="43" t="str" cm="1">
        <f t="array" ref="AD6">+IFERROR(_xlfn.CONCAT(_xlfn.UNIQUE(_xlfn._xlws.FILTER(AD$19:AD$1010,(($A$19:$A$1010=$A6)*(AD$19:AD$1010&lt;&gt;0)*(AD$19:AD$1010&lt;&gt;"F"))))),"")</f>
        <v/>
      </c>
      <c r="AE6" s="43" t="str" cm="1">
        <f t="array" ref="AE6">+IFERROR(_xlfn.CONCAT(_xlfn.UNIQUE(_xlfn._xlws.FILTER(AE$19:AE$1010,(($A$19:$A$1010=$A6)*(AE$19:AE$1010&lt;&gt;0)*(AE$19:AE$1010&lt;&gt;"F"))))),"")</f>
        <v/>
      </c>
      <c r="AF6" s="44" t="str" cm="1">
        <f t="array" ref="AF6">+IFERROR(_xlfn.CONCAT(_xlfn.UNIQUE(_xlfn._xlws.FILTER(AF$19:AF$1010,(($A$19:$A$1010=$A6)*(AF$19:AF$1010&lt;&gt;0)*(AF$19:AF$1010&lt;&gt;"F"))))),"")</f>
        <v/>
      </c>
      <c r="AG6" s="42" t="str" cm="1">
        <f t="array" ref="AG6">+IFERROR(_xlfn.CONCAT(_xlfn.UNIQUE(_xlfn._xlws.FILTER(AG$19:AG$1010,(($A$19:$A$1010=$A6)*(AG$19:AG$1010&lt;&gt;0)*(AG$19:AG$1010&lt;&gt;"F"))))),"")</f>
        <v/>
      </c>
      <c r="AH6" s="43" t="str" cm="1">
        <f t="array" ref="AH6">+IFERROR(_xlfn.CONCAT(_xlfn.UNIQUE(_xlfn._xlws.FILTER(AH$19:AH$1010,(($A$19:$A$1010=$A6)*(AH$19:AH$1010&lt;&gt;0)*(AH$19:AH$1010&lt;&gt;"F"))))),"")</f>
        <v/>
      </c>
      <c r="AI6" s="43" t="str" cm="1">
        <f t="array" ref="AI6">+IFERROR(_xlfn.CONCAT(_xlfn.UNIQUE(_xlfn._xlws.FILTER(AI$19:AI$1010,(($A$19:$A$1010=$A6)*(AI$19:AI$1010&lt;&gt;0)*(AI$19:AI$1010&lt;&gt;"F"))))),"")</f>
        <v/>
      </c>
      <c r="AJ6" s="43" t="str" cm="1">
        <f t="array" ref="AJ6">+IFERROR(_xlfn.CONCAT(_xlfn.UNIQUE(_xlfn._xlws.FILTER(AJ$19:AJ$1010,(($A$19:$A$1010=$A6)*(AJ$19:AJ$1010&lt;&gt;0)*(AJ$19:AJ$1010&lt;&gt;"F"))))),"")</f>
        <v/>
      </c>
      <c r="AK6" s="44" t="str" cm="1">
        <f t="array" ref="AK6">+IFERROR(_xlfn.CONCAT(_xlfn.UNIQUE(_xlfn._xlws.FILTER(AK$19:AK$1010,(($A$19:$A$1010=$A6)*(AK$19:AK$1010&lt;&gt;0)*(AK$19:AK$1010&lt;&gt;"F"))))),"")</f>
        <v/>
      </c>
      <c r="AL6" s="42" t="str" cm="1">
        <f t="array" ref="AL6">+IFERROR(_xlfn.CONCAT(_xlfn.UNIQUE(_xlfn._xlws.FILTER(AL$19:AL$1010,(($A$19:$A$1010=$A6)*(AL$19:AL$1010&lt;&gt;0)*(AL$19:AL$1010&lt;&gt;"F"))))),"")</f>
        <v/>
      </c>
      <c r="AM6" s="43" t="str" cm="1">
        <f t="array" ref="AM6">+IFERROR(_xlfn.CONCAT(_xlfn.UNIQUE(_xlfn._xlws.FILTER(AM$19:AM$1010,(($A$19:$A$1010=$A6)*(AM$19:AM$1010&lt;&gt;0)*(AM$19:AM$1010&lt;&gt;"F"))))),"")</f>
        <v/>
      </c>
      <c r="AN6" s="43" t="str" cm="1">
        <f t="array" ref="AN6">+IFERROR(_xlfn.CONCAT(_xlfn.UNIQUE(_xlfn._xlws.FILTER(AN$19:AN$1010,(($A$19:$A$1010=$A6)*(AN$19:AN$1010&lt;&gt;0)*(AN$19:AN$1010&lt;&gt;"F"))))),"")</f>
        <v/>
      </c>
      <c r="AO6" s="44" t="str" cm="1">
        <f t="array" ref="AO6">+IFERROR(_xlfn.CONCAT(_xlfn.UNIQUE(_xlfn._xlws.FILTER(AO$19:AO$1010,(($A$19:$A$1010=$A6)*(AO$19:AO$1010&lt;&gt;0)*(AO$19:AO$1010&lt;&gt;"F"))))),"")</f>
        <v/>
      </c>
      <c r="AP6" s="42" t="str" cm="1">
        <f t="array" ref="AP6">+IFERROR(_xlfn.CONCAT(_xlfn.UNIQUE(_xlfn._xlws.FILTER(AP$19:AP$1010,(($A$19:$A$1010=$A6)*(AP$19:AP$1010&lt;&gt;0)*(AP$19:AP$1010&lt;&gt;"F"))))),"")</f>
        <v/>
      </c>
      <c r="AQ6" s="43" t="str" cm="1">
        <f t="array" ref="AQ6">+IFERROR(_xlfn.CONCAT(_xlfn.UNIQUE(_xlfn._xlws.FILTER(AQ$19:AQ$1010,(($A$19:$A$1010=$A6)*(AQ$19:AQ$1010&lt;&gt;0)*(AQ$19:AQ$1010&lt;&gt;"F"))))),"")</f>
        <v/>
      </c>
      <c r="AR6" s="43" t="str" cm="1">
        <f t="array" ref="AR6">+IFERROR(_xlfn.CONCAT(_xlfn.UNIQUE(_xlfn._xlws.FILTER(AR$19:AR$1010,(($A$19:$A$1010=$A6)*(AR$19:AR$1010&lt;&gt;0)*(AR$19:AR$1010&lt;&gt;"F"))))),"")</f>
        <v/>
      </c>
      <c r="AS6" s="44" t="str" cm="1">
        <f t="array" ref="AS6">+IFERROR(_xlfn.CONCAT(_xlfn.UNIQUE(_xlfn._xlws.FILTER(AS$19:AS$1010,(($A$19:$A$1010=$A6)*(AS$19:AS$1010&lt;&gt;0)*(AS$19:AS$1010&lt;&gt;"F"))))),"")</f>
        <v/>
      </c>
      <c r="AT6" s="42" t="str" cm="1">
        <f t="array" ref="AT6">+IFERROR(_xlfn.CONCAT(_xlfn.UNIQUE(_xlfn._xlws.FILTER(AT$19:AT$1010,(($A$19:$A$1010=$A6)*(AT$19:AT$1010&lt;&gt;0)*(AT$19:AT$1010&lt;&gt;"F"))))),"")</f>
        <v/>
      </c>
      <c r="AU6" s="43" t="str" cm="1">
        <f t="array" ref="AU6">+IFERROR(_xlfn.CONCAT(_xlfn.UNIQUE(_xlfn._xlws.FILTER(AU$19:AU$1010,(($A$19:$A$1010=$A6)*(AU$19:AU$1010&lt;&gt;0)*(AU$19:AU$1010&lt;&gt;"F"))))),"")</f>
        <v/>
      </c>
      <c r="AV6" s="43" t="str" cm="1">
        <f t="array" ref="AV6">+IFERROR(_xlfn.CONCAT(_xlfn.UNIQUE(_xlfn._xlws.FILTER(AV$19:AV$1010,(($A$19:$A$1010=$A6)*(AV$19:AV$1010&lt;&gt;0)*(AV$19:AV$1010&lt;&gt;"F"))))),"")</f>
        <v/>
      </c>
      <c r="AW6" s="43" t="str" cm="1">
        <f t="array" ref="AW6">+IFERROR(_xlfn.CONCAT(_xlfn.UNIQUE(_xlfn._xlws.FILTER(AW$19:AW$1010,(($A$19:$A$1010=$A6)*(AW$19:AW$1010&lt;&gt;0)*(AW$19:AW$1010&lt;&gt;"F"))))),"")</f>
        <v/>
      </c>
      <c r="AX6" s="44" t="str" cm="1">
        <f t="array" ref="AX6">+IFERROR(_xlfn.CONCAT(_xlfn.UNIQUE(_xlfn._xlws.FILTER(AX$19:AX$1010,(($A$19:$A$1010=$A6)*(AX$19:AX$1010&lt;&gt;0)*(AX$19:AX$1010&lt;&gt;"F"))))),"")</f>
        <v/>
      </c>
      <c r="AY6" s="42" t="str" cm="1">
        <f t="array" ref="AY6">+IFERROR(_xlfn.CONCAT(_xlfn.UNIQUE(_xlfn._xlws.FILTER(AY$19:AY$1010,(($A$19:$A$1010=$A6)*(AY$19:AY$1010&lt;&gt;0)*(AY$19:AY$1010&lt;&gt;"F"))))),"")</f>
        <v/>
      </c>
      <c r="AZ6" s="43" t="str" cm="1">
        <f t="array" ref="AZ6">+IFERROR(_xlfn.CONCAT(_xlfn.UNIQUE(_xlfn._xlws.FILTER(AZ$19:AZ$1010,(($A$19:$A$1010=$A6)*(AZ$19:AZ$1010&lt;&gt;0)*(AZ$19:AZ$1010&lt;&gt;"F"))))),"")</f>
        <v/>
      </c>
      <c r="BA6" s="43" t="str" cm="1">
        <f t="array" ref="BA6">+IFERROR(_xlfn.CONCAT(_xlfn.UNIQUE(_xlfn._xlws.FILTER(BA$19:BA$1010,(($A$19:$A$1010=$A6)*(BA$19:BA$1010&lt;&gt;0)*(BA$19:BA$1010&lt;&gt;"F"))))),"")</f>
        <v/>
      </c>
      <c r="BB6" s="44" t="str" cm="1">
        <f t="array" ref="BB6">+IFERROR(_xlfn.CONCAT(_xlfn.UNIQUE(_xlfn._xlws.FILTER(BB$19:BB$1010,(($A$19:$A$1010=$A6)*(BB$19:BB$1010&lt;&gt;0)*(BB$19:BB$1010&lt;&gt;"F"))))),"")</f>
        <v/>
      </c>
      <c r="BC6" s="42" t="str" cm="1">
        <f t="array" ref="BC6">+IFERROR(_xlfn.CONCAT(_xlfn.UNIQUE(_xlfn._xlws.FILTER(BC$19:BC$1010,(($A$19:$A$1010=$A6)*(BC$19:BC$1010&lt;&gt;0)*(BC$19:BC$1010&lt;&gt;"F"))))),"")</f>
        <v/>
      </c>
      <c r="BD6" s="43" t="str" cm="1">
        <f t="array" ref="BD6">+IFERROR(_xlfn.CONCAT(_xlfn.UNIQUE(_xlfn._xlws.FILTER(BD$19:BD$1010,(($A$19:$A$1010=$A6)*(BD$19:BD$1010&lt;&gt;0)*(BD$19:BD$1010&lt;&gt;"F"))))),"")</f>
        <v/>
      </c>
      <c r="BE6" s="43" t="str" cm="1">
        <f t="array" ref="BE6">+IFERROR(_xlfn.CONCAT(_xlfn.UNIQUE(_xlfn._xlws.FILTER(BE$19:BE$1010,(($A$19:$A$1010=$A6)*(BE$19:BE$1010&lt;&gt;0)*(BE$19:BE$1010&lt;&gt;"F"))))),"")</f>
        <v/>
      </c>
      <c r="BF6" s="44" t="str" cm="1">
        <f t="array" ref="BF6">+IFERROR(_xlfn.CONCAT(_xlfn.UNIQUE(_xlfn._xlws.FILTER(BF$19:BF$1010,(($A$19:$A$1010=$A6)*(BF$19:BF$1010&lt;&gt;0)*(BF$19:BF$1010&lt;&gt;"F"))))),"")</f>
        <v/>
      </c>
      <c r="BG6" s="42" t="str" cm="1">
        <f t="array" ref="BG6">+IFERROR(_xlfn.CONCAT(_xlfn.UNIQUE(_xlfn._xlws.FILTER(BG$19:BG$1010,(($A$19:$A$1010=$A6)*(BG$19:BG$1010&lt;&gt;0)*(BG$19:BG$1010&lt;&gt;"F"))))),"")</f>
        <v/>
      </c>
      <c r="BH6" s="43" t="str" cm="1">
        <f t="array" ref="BH6">+IFERROR(_xlfn.CONCAT(_xlfn.UNIQUE(_xlfn._xlws.FILTER(BH$19:BH$1010,(($A$19:$A$1010=$A6)*(BH$19:BH$1010&lt;&gt;0)*(BH$19:BH$1010&lt;&gt;"F"))))),"")</f>
        <v/>
      </c>
      <c r="BI6" s="43" t="str" cm="1">
        <f t="array" ref="BI6">+IFERROR(_xlfn.CONCAT(_xlfn.UNIQUE(_xlfn._xlws.FILTER(BI$19:BI$1010,(($A$19:$A$1010=$A6)*(BI$19:BI$1010&lt;&gt;0)*(BI$19:BI$1010&lt;&gt;"F"))))),"")</f>
        <v/>
      </c>
      <c r="BJ6" s="43" t="str" cm="1">
        <f t="array" ref="BJ6">+IFERROR(_xlfn.CONCAT(_xlfn.UNIQUE(_xlfn._xlws.FILTER(BJ$19:BJ$1010,(($A$19:$A$1010=$A6)*(BJ$19:BJ$1010&lt;&gt;0)*(BJ$19:BJ$1010&lt;&gt;"F"))))),"")</f>
        <v/>
      </c>
      <c r="BK6" s="44" t="str" cm="1">
        <f t="array" ref="BK6">+IFERROR(_xlfn.CONCAT(_xlfn.UNIQUE(_xlfn._xlws.FILTER(BK$19:BK$1010,(($A$19:$A$1010=$A6)*(BK$19:BK$1010&lt;&gt;0)*(BK$19:BK$1010&lt;&gt;"F"))))),"")</f>
        <v/>
      </c>
      <c r="BL6" s="42" t="str" cm="1">
        <f t="array" ref="BL6">+IFERROR(_xlfn.CONCAT(_xlfn.UNIQUE(_xlfn._xlws.FILTER(BL$19:BL$1010,(($A$19:$A$1010=$A6)*(BL$19:BL$1010&lt;&gt;0)*(BL$19:BL$1010&lt;&gt;"F"))))),"")</f>
        <v/>
      </c>
      <c r="BM6" s="43" t="str" cm="1">
        <f t="array" ref="BM6">+IFERROR(_xlfn.CONCAT(_xlfn.UNIQUE(_xlfn._xlws.FILTER(BM$19:BM$1010,(($A$19:$A$1010=$A6)*(BM$19:BM$1010&lt;&gt;0)*(BM$19:BM$1010&lt;&gt;"F"))))),"")</f>
        <v/>
      </c>
      <c r="BN6" s="43" t="str" cm="1">
        <f t="array" ref="BN6">+IFERROR(_xlfn.CONCAT(_xlfn.UNIQUE(_xlfn._xlws.FILTER(BN$19:BN$1010,(($A$19:$A$1010=$A6)*(BN$19:BN$1010&lt;&gt;0)*(BN$19:BN$1010&lt;&gt;"F"))))),"")</f>
        <v/>
      </c>
      <c r="BO6" s="44" t="str" cm="1">
        <f t="array" ref="BO6">+IFERROR(_xlfn.CONCAT(_xlfn.UNIQUE(_xlfn._xlws.FILTER(BO$19:BO$1010,(($A$19:$A$1010=$A6)*(BO$19:BO$1010&lt;&gt;0)*(BO$19:BO$1010&lt;&gt;"F"))))),"")</f>
        <v/>
      </c>
      <c r="BP6" s="42" t="str" cm="1">
        <f t="array" ref="BP6">+IFERROR(_xlfn.CONCAT(_xlfn.UNIQUE(_xlfn._xlws.FILTER(BP$19:BP$1010,(($A$19:$A$1010=$A6)*(BP$19:BP$1010&lt;&gt;0)*(BP$19:BP$1010&lt;&gt;"F"))))),"")</f>
        <v/>
      </c>
      <c r="BQ6" s="43" t="str" cm="1">
        <f t="array" ref="BQ6">+IFERROR(_xlfn.CONCAT(_xlfn.UNIQUE(_xlfn._xlws.FILTER(BQ$19:BQ$1010,(($A$19:$A$1010=$A6)*(BQ$19:BQ$1010&lt;&gt;0)*(BQ$19:BQ$1010&lt;&gt;"F"))))),"")</f>
        <v/>
      </c>
      <c r="BR6" s="43" t="str" cm="1">
        <f t="array" ref="BR6">+IFERROR(_xlfn.CONCAT(_xlfn.UNIQUE(_xlfn._xlws.FILTER(BR$19:BR$1010,(($A$19:$A$1010=$A6)*(BR$19:BR$1010&lt;&gt;0)*(BR$19:BR$1010&lt;&gt;"F"))))),"")</f>
        <v/>
      </c>
      <c r="BS6" s="44" t="str" cm="1">
        <f t="array" ref="BS6">+IFERROR(_xlfn.CONCAT(_xlfn.UNIQUE(_xlfn._xlws.FILTER(BS$19:BS$1010,(($A$19:$A$1010=$A6)*(BS$19:BS$1010&lt;&gt;0)*(BS$19:BS$1010&lt;&gt;"F"))))),"")</f>
        <v/>
      </c>
    </row>
    <row r="7" spans="1:71" s="13" customFormat="1" ht="39.9" customHeight="1" x14ac:dyDescent="0.3">
      <c r="A7" s="57" t="str">
        <v>OCORRENCIAS POSTERGADAS</v>
      </c>
      <c r="B7" s="27"/>
      <c r="C7" s="28">
        <v>0</v>
      </c>
      <c r="D7" s="29" t="str">
        <v>Melhoria de Processo</v>
      </c>
      <c r="E7" s="29" t="str">
        <v>Evolução, Melhoria ou Adequação</v>
      </c>
      <c r="F7" s="29" t="str">
        <v>Alta</v>
      </c>
      <c r="G7" s="45" t="str" cm="1">
        <f t="array" ref="G7">+IFERROR(_xlfn.CONCAT(_xlfn.UNIQUE(_xlfn._xlws.FILTER(G$19:G$1010,(($A$19:$A$1010=$A7)*(G$19:G$1010&lt;&gt;0)*(G$19:G$1010&lt;&gt;"F"))))),"")</f>
        <v/>
      </c>
      <c r="H7" s="46" t="str" cm="1">
        <f t="array" ref="H7">+IFERROR(_xlfn.CONCAT(_xlfn.UNIQUE(_xlfn._xlws.FILTER(H$19:H$1010,(($A$19:$A$1010=$A7)*(H$19:H$1010&lt;&gt;0)*(H$19:H$1010&lt;&gt;"F"))))),"")</f>
        <v/>
      </c>
      <c r="I7" s="46" t="str" cm="1">
        <f t="array" ref="I7">+IFERROR(_xlfn.CONCAT(_xlfn.UNIQUE(_xlfn._xlws.FILTER(I$19:I$1010,(($A$19:$A$1010=$A7)*(I$19:I$1010&lt;&gt;0)*(I$19:I$1010&lt;&gt;"F"))))),"")</f>
        <v/>
      </c>
      <c r="J7" s="46" t="str" cm="1">
        <f t="array" ref="J7">+IFERROR(_xlfn.CONCAT(_xlfn.UNIQUE(_xlfn._xlws.FILTER(J$19:J$1010,(($A$19:$A$1010=$A7)*(J$19:J$1010&lt;&gt;0)*(J$19:J$1010&lt;&gt;"F"))))),"")</f>
        <v/>
      </c>
      <c r="K7" s="47" t="str" cm="1">
        <f t="array" ref="K7">+IFERROR(_xlfn.CONCAT(_xlfn.UNIQUE(_xlfn._xlws.FILTER(K$19:K$1010,(($A$19:$A$1010=$A7)*(K$19:K$1010&lt;&gt;0)*(K$19:K$1010&lt;&gt;"F"))))),"")</f>
        <v/>
      </c>
      <c r="L7" s="45" t="str" cm="1">
        <f t="array" ref="L7">+IFERROR(_xlfn.CONCAT(_xlfn.UNIQUE(_xlfn._xlws.FILTER(L$19:L$1010,(($A$19:$A$1010=$A7)*(L$19:L$1010&lt;&gt;0)*(L$19:L$1010&lt;&gt;"F"))))),"")</f>
        <v/>
      </c>
      <c r="M7" s="46" t="str" cm="1">
        <f t="array" ref="M7">+IFERROR(_xlfn.CONCAT(_xlfn.UNIQUE(_xlfn._xlws.FILTER(M$19:M$1010,(($A$19:$A$1010=$A7)*(M$19:M$1010&lt;&gt;0)*(M$19:M$1010&lt;&gt;"F"))))),"")</f>
        <v/>
      </c>
      <c r="N7" s="46" t="str" cm="1">
        <f t="array" ref="N7">+IFERROR(_xlfn.CONCAT(_xlfn.UNIQUE(_xlfn._xlws.FILTER(N$19:N$1010,(($A$19:$A$1010=$A7)*(N$19:N$1010&lt;&gt;0)*(N$19:N$1010&lt;&gt;"F"))))),"")</f>
        <v/>
      </c>
      <c r="O7" s="47" t="str" cm="1">
        <f t="array" ref="O7">+IFERROR(_xlfn.CONCAT(_xlfn.UNIQUE(_xlfn._xlws.FILTER(O$19:O$1010,(($A$19:$A$1010=$A7)*(O$19:O$1010&lt;&gt;0)*(O$19:O$1010&lt;&gt;"F"))))),"")</f>
        <v/>
      </c>
      <c r="P7" s="45" t="str" cm="1">
        <f t="array" ref="P7">+IFERROR(_xlfn.CONCAT(_xlfn.UNIQUE(_xlfn._xlws.FILTER(P$19:P$1010,(($A$19:$A$1010=$A7)*(P$19:P$1010&lt;&gt;0)*(P$19:P$1010&lt;&gt;"F"))))),"")</f>
        <v/>
      </c>
      <c r="Q7" s="46" t="str" cm="1">
        <f t="array" ref="Q7">+IFERROR(_xlfn.CONCAT(_xlfn.UNIQUE(_xlfn._xlws.FILTER(Q$19:Q$1010,(($A$19:$A$1010=$A7)*(Q$19:Q$1010&lt;&gt;0)*(Q$19:Q$1010&lt;&gt;"F"))))),"")</f>
        <v/>
      </c>
      <c r="R7" s="46" t="str" cm="1">
        <f t="array" ref="R7">+IFERROR(_xlfn.CONCAT(_xlfn.UNIQUE(_xlfn._xlws.FILTER(R$19:R$1010,(($A$19:$A$1010=$A7)*(R$19:R$1010&lt;&gt;0)*(R$19:R$1010&lt;&gt;"F"))))),"")</f>
        <v/>
      </c>
      <c r="S7" s="47" t="str" cm="1">
        <f t="array" ref="S7">+IFERROR(_xlfn.CONCAT(_xlfn.UNIQUE(_xlfn._xlws.FILTER(S$19:S$1010,(($A$19:$A$1010=$A7)*(S$19:S$1010&lt;&gt;0)*(S$19:S$1010&lt;&gt;"F"))))),"")</f>
        <v/>
      </c>
      <c r="T7" s="45" t="str" cm="1">
        <f t="array" ref="T7">+IFERROR(_xlfn.CONCAT(_xlfn.UNIQUE(_xlfn._xlws.FILTER(T$19:T$1010,(($A$19:$A$1010=$A7)*(T$19:T$1010&lt;&gt;0)*(T$19:T$1010&lt;&gt;"F"))))),"")</f>
        <v/>
      </c>
      <c r="U7" s="46" t="str" cm="1">
        <f t="array" ref="U7">+IFERROR(_xlfn.CONCAT(_xlfn.UNIQUE(_xlfn._xlws.FILTER(U$19:U$1010,(($A$19:$A$1010=$A7)*(U$19:U$1010&lt;&gt;0)*(U$19:U$1010&lt;&gt;"F"))))),"")</f>
        <v/>
      </c>
      <c r="V7" s="46" t="str" cm="1">
        <f t="array" ref="V7">+IFERROR(_xlfn.CONCAT(_xlfn.UNIQUE(_xlfn._xlws.FILTER(V$19:V$1010,(($A$19:$A$1010=$A7)*(V$19:V$1010&lt;&gt;0)*(V$19:V$1010&lt;&gt;"F"))))),"")</f>
        <v/>
      </c>
      <c r="W7" s="46" t="str" cm="1">
        <f t="array" ref="W7">+IFERROR(_xlfn.CONCAT(_xlfn.UNIQUE(_xlfn._xlws.FILTER(W$19:W$1010,(($A$19:$A$1010=$A7)*(W$19:W$1010&lt;&gt;0)*(W$19:W$1010&lt;&gt;"F"))))),"")</f>
        <v/>
      </c>
      <c r="X7" s="47" t="str" cm="1">
        <f t="array" ref="X7">+IFERROR(_xlfn.CONCAT(_xlfn.UNIQUE(_xlfn._xlws.FILTER(X$19:X$1010,(($A$19:$A$1010=$A7)*(X$19:X$1010&lt;&gt;0)*(X$19:X$1010&lt;&gt;"F"))))),"")</f>
        <v/>
      </c>
      <c r="Y7" s="45" t="str" cm="1">
        <f t="array" ref="Y7">+IFERROR(_xlfn.CONCAT(_xlfn.UNIQUE(_xlfn._xlws.FILTER(Y$19:Y$1010,(($A$19:$A$1010=$A7)*(Y$19:Y$1010&lt;&gt;0)*(Y$19:Y$1010&lt;&gt;"F"))))),"")</f>
        <v/>
      </c>
      <c r="Z7" s="46" t="str" cm="1">
        <f t="array" ref="Z7">+IFERROR(_xlfn.CONCAT(_xlfn.UNIQUE(_xlfn._xlws.FILTER(Z$19:Z$1010,(($A$19:$A$1010=$A7)*(Z$19:Z$1010&lt;&gt;0)*(Z$19:Z$1010&lt;&gt;"F"))))),"")</f>
        <v/>
      </c>
      <c r="AA7" s="46" t="str" cm="1">
        <f t="array" ref="AA7">+IFERROR(_xlfn.CONCAT(_xlfn.UNIQUE(_xlfn._xlws.FILTER(AA$19:AA$1010,(($A$19:$A$1010=$A7)*(AA$19:AA$1010&lt;&gt;0)*(AA$19:AA$1010&lt;&gt;"F"))))),"")</f>
        <v/>
      </c>
      <c r="AB7" s="47" t="str" cm="1">
        <f t="array" ref="AB7">+IFERROR(_xlfn.CONCAT(_xlfn.UNIQUE(_xlfn._xlws.FILTER(AB$19:AB$1010,(($A$19:$A$1010=$A7)*(AB$19:AB$1010&lt;&gt;0)*(AB$19:AB$1010&lt;&gt;"F"))))),"")</f>
        <v/>
      </c>
      <c r="AC7" s="45" t="str" cm="1">
        <f t="array" ref="AC7">+IFERROR(_xlfn.CONCAT(_xlfn.UNIQUE(_xlfn._xlws.FILTER(AC$19:AC$1010,(($A$19:$A$1010=$A7)*(AC$19:AC$1010&lt;&gt;0)*(AC$19:AC$1010&lt;&gt;"F"))))),"")</f>
        <v/>
      </c>
      <c r="AD7" s="46" t="str" cm="1">
        <f t="array" ref="AD7">+IFERROR(_xlfn.CONCAT(_xlfn.UNIQUE(_xlfn._xlws.FILTER(AD$19:AD$1010,(($A$19:$A$1010=$A7)*(AD$19:AD$1010&lt;&gt;0)*(AD$19:AD$1010&lt;&gt;"F"))))),"")</f>
        <v/>
      </c>
      <c r="AE7" s="46" t="str" cm="1">
        <f t="array" ref="AE7">+IFERROR(_xlfn.CONCAT(_xlfn.UNIQUE(_xlfn._xlws.FILTER(AE$19:AE$1010,(($A$19:$A$1010=$A7)*(AE$19:AE$1010&lt;&gt;0)*(AE$19:AE$1010&lt;&gt;"F"))))),"")</f>
        <v/>
      </c>
      <c r="AF7" s="47" t="str" cm="1">
        <f t="array" ref="AF7">+IFERROR(_xlfn.CONCAT(_xlfn.UNIQUE(_xlfn._xlws.FILTER(AF$19:AF$1010,(($A$19:$A$1010=$A7)*(AF$19:AF$1010&lt;&gt;0)*(AF$19:AF$1010&lt;&gt;"F"))))),"")</f>
        <v/>
      </c>
      <c r="AG7" s="45" t="str" cm="1">
        <f t="array" ref="AG7">+IFERROR(_xlfn.CONCAT(_xlfn.UNIQUE(_xlfn._xlws.FILTER(AG$19:AG$1010,(($A$19:$A$1010=$A7)*(AG$19:AG$1010&lt;&gt;0)*(AG$19:AG$1010&lt;&gt;"F"))))),"")</f>
        <v/>
      </c>
      <c r="AH7" s="46" t="str" cm="1">
        <f t="array" ref="AH7">+IFERROR(_xlfn.CONCAT(_xlfn.UNIQUE(_xlfn._xlws.FILTER(AH$19:AH$1010,(($A$19:$A$1010=$A7)*(AH$19:AH$1010&lt;&gt;0)*(AH$19:AH$1010&lt;&gt;"F"))))),"")</f>
        <v/>
      </c>
      <c r="AI7" s="46" t="str" cm="1">
        <f t="array" ref="AI7">+IFERROR(_xlfn.CONCAT(_xlfn.UNIQUE(_xlfn._xlws.FILTER(AI$19:AI$1010,(($A$19:$A$1010=$A7)*(AI$19:AI$1010&lt;&gt;0)*(AI$19:AI$1010&lt;&gt;"F"))))),"")</f>
        <v/>
      </c>
      <c r="AJ7" s="46" t="str" cm="1">
        <f t="array" ref="AJ7">+IFERROR(_xlfn.CONCAT(_xlfn.UNIQUE(_xlfn._xlws.FILTER(AJ$19:AJ$1010,(($A$19:$A$1010=$A7)*(AJ$19:AJ$1010&lt;&gt;0)*(AJ$19:AJ$1010&lt;&gt;"F"))))),"")</f>
        <v/>
      </c>
      <c r="AK7" s="47" t="str" cm="1">
        <f t="array" ref="AK7">+IFERROR(_xlfn.CONCAT(_xlfn.UNIQUE(_xlfn._xlws.FILTER(AK$19:AK$1010,(($A$19:$A$1010=$A7)*(AK$19:AK$1010&lt;&gt;0)*(AK$19:AK$1010&lt;&gt;"F"))))),"")</f>
        <v/>
      </c>
      <c r="AL7" s="45" t="str" cm="1">
        <f t="array" ref="AL7">+IFERROR(_xlfn.CONCAT(_xlfn.UNIQUE(_xlfn._xlws.FILTER(AL$19:AL$1010,(($A$19:$A$1010=$A7)*(AL$19:AL$1010&lt;&gt;0)*(AL$19:AL$1010&lt;&gt;"F"))))),"")</f>
        <v/>
      </c>
      <c r="AM7" s="46" t="str" cm="1">
        <f t="array" ref="AM7">+IFERROR(_xlfn.CONCAT(_xlfn.UNIQUE(_xlfn._xlws.FILTER(AM$19:AM$1010,(($A$19:$A$1010=$A7)*(AM$19:AM$1010&lt;&gt;0)*(AM$19:AM$1010&lt;&gt;"F"))))),"")</f>
        <v/>
      </c>
      <c r="AN7" s="46" t="str" cm="1">
        <f t="array" ref="AN7">+IFERROR(_xlfn.CONCAT(_xlfn.UNIQUE(_xlfn._xlws.FILTER(AN$19:AN$1010,(($A$19:$A$1010=$A7)*(AN$19:AN$1010&lt;&gt;0)*(AN$19:AN$1010&lt;&gt;"F"))))),"")</f>
        <v/>
      </c>
      <c r="AO7" s="47" t="str" cm="1">
        <f t="array" ref="AO7">+IFERROR(_xlfn.CONCAT(_xlfn.UNIQUE(_xlfn._xlws.FILTER(AO$19:AO$1010,(($A$19:$A$1010=$A7)*(AO$19:AO$1010&lt;&gt;0)*(AO$19:AO$1010&lt;&gt;"F"))))),"")</f>
        <v/>
      </c>
      <c r="AP7" s="45" t="str" cm="1">
        <f t="array" ref="AP7">+IFERROR(_xlfn.CONCAT(_xlfn.UNIQUE(_xlfn._xlws.FILTER(AP$19:AP$1010,(($A$19:$A$1010=$A7)*(AP$19:AP$1010&lt;&gt;0)*(AP$19:AP$1010&lt;&gt;"F"))))),"")</f>
        <v/>
      </c>
      <c r="AQ7" s="46" t="str" cm="1">
        <f t="array" ref="AQ7">+IFERROR(_xlfn.CONCAT(_xlfn.UNIQUE(_xlfn._xlws.FILTER(AQ$19:AQ$1010,(($A$19:$A$1010=$A7)*(AQ$19:AQ$1010&lt;&gt;0)*(AQ$19:AQ$1010&lt;&gt;"F"))))),"")</f>
        <v/>
      </c>
      <c r="AR7" s="46" t="str" cm="1">
        <f t="array" ref="AR7">+IFERROR(_xlfn.CONCAT(_xlfn.UNIQUE(_xlfn._xlws.FILTER(AR$19:AR$1010,(($A$19:$A$1010=$A7)*(AR$19:AR$1010&lt;&gt;0)*(AR$19:AR$1010&lt;&gt;"F"))))),"")</f>
        <v/>
      </c>
      <c r="AS7" s="47" t="str" cm="1">
        <f t="array" ref="AS7">+IFERROR(_xlfn.CONCAT(_xlfn.UNIQUE(_xlfn._xlws.FILTER(AS$19:AS$1010,(($A$19:$A$1010=$A7)*(AS$19:AS$1010&lt;&gt;0)*(AS$19:AS$1010&lt;&gt;"F"))))),"")</f>
        <v/>
      </c>
      <c r="AT7" s="45" t="str" cm="1">
        <f t="array" ref="AT7">+IFERROR(_xlfn.CONCAT(_xlfn.UNIQUE(_xlfn._xlws.FILTER(AT$19:AT$1010,(($A$19:$A$1010=$A7)*(AT$19:AT$1010&lt;&gt;0)*(AT$19:AT$1010&lt;&gt;"F"))))),"")</f>
        <v/>
      </c>
      <c r="AU7" s="46" t="str" cm="1">
        <f t="array" ref="AU7">+IFERROR(_xlfn.CONCAT(_xlfn.UNIQUE(_xlfn._xlws.FILTER(AU$19:AU$1010,(($A$19:$A$1010=$A7)*(AU$19:AU$1010&lt;&gt;0)*(AU$19:AU$1010&lt;&gt;"F"))))),"")</f>
        <v/>
      </c>
      <c r="AV7" s="46" t="str" cm="1">
        <f t="array" ref="AV7">+IFERROR(_xlfn.CONCAT(_xlfn.UNIQUE(_xlfn._xlws.FILTER(AV$19:AV$1010,(($A$19:$A$1010=$A7)*(AV$19:AV$1010&lt;&gt;0)*(AV$19:AV$1010&lt;&gt;"F"))))),"")</f>
        <v/>
      </c>
      <c r="AW7" s="46" t="str" cm="1">
        <f t="array" ref="AW7">+IFERROR(_xlfn.CONCAT(_xlfn.UNIQUE(_xlfn._xlws.FILTER(AW$19:AW$1010,(($A$19:$A$1010=$A7)*(AW$19:AW$1010&lt;&gt;0)*(AW$19:AW$1010&lt;&gt;"F"))))),"")</f>
        <v/>
      </c>
      <c r="AX7" s="47" t="str" cm="1">
        <f t="array" ref="AX7">+IFERROR(_xlfn.CONCAT(_xlfn.UNIQUE(_xlfn._xlws.FILTER(AX$19:AX$1010,(($A$19:$A$1010=$A7)*(AX$19:AX$1010&lt;&gt;0)*(AX$19:AX$1010&lt;&gt;"F"))))),"")</f>
        <v/>
      </c>
      <c r="AY7" s="45" t="str" cm="1">
        <f t="array" ref="AY7">+IFERROR(_xlfn.CONCAT(_xlfn.UNIQUE(_xlfn._xlws.FILTER(AY$19:AY$1010,(($A$19:$A$1010=$A7)*(AY$19:AY$1010&lt;&gt;0)*(AY$19:AY$1010&lt;&gt;"F"))))),"")</f>
        <v/>
      </c>
      <c r="AZ7" s="46" t="str" cm="1">
        <f t="array" ref="AZ7">+IFERROR(_xlfn.CONCAT(_xlfn.UNIQUE(_xlfn._xlws.FILTER(AZ$19:AZ$1010,(($A$19:$A$1010=$A7)*(AZ$19:AZ$1010&lt;&gt;0)*(AZ$19:AZ$1010&lt;&gt;"F"))))),"")</f>
        <v/>
      </c>
      <c r="BA7" s="46" t="str" cm="1">
        <f t="array" ref="BA7">+IFERROR(_xlfn.CONCAT(_xlfn.UNIQUE(_xlfn._xlws.FILTER(BA$19:BA$1010,(($A$19:$A$1010=$A7)*(BA$19:BA$1010&lt;&gt;0)*(BA$19:BA$1010&lt;&gt;"F"))))),"")</f>
        <v/>
      </c>
      <c r="BB7" s="47" t="str" cm="1">
        <f t="array" ref="BB7">+IFERROR(_xlfn.CONCAT(_xlfn.UNIQUE(_xlfn._xlws.FILTER(BB$19:BB$1010,(($A$19:$A$1010=$A7)*(BB$19:BB$1010&lt;&gt;0)*(BB$19:BB$1010&lt;&gt;"F"))))),"")</f>
        <v/>
      </c>
      <c r="BC7" s="45" t="str" cm="1">
        <f t="array" ref="BC7">+IFERROR(_xlfn.CONCAT(_xlfn.UNIQUE(_xlfn._xlws.FILTER(BC$19:BC$1010,(($A$19:$A$1010=$A7)*(BC$19:BC$1010&lt;&gt;0)*(BC$19:BC$1010&lt;&gt;"F"))))),"")</f>
        <v/>
      </c>
      <c r="BD7" s="46" t="str" cm="1">
        <f t="array" ref="BD7">+IFERROR(_xlfn.CONCAT(_xlfn.UNIQUE(_xlfn._xlws.FILTER(BD$19:BD$1010,(($A$19:$A$1010=$A7)*(BD$19:BD$1010&lt;&gt;0)*(BD$19:BD$1010&lt;&gt;"F"))))),"")</f>
        <v/>
      </c>
      <c r="BE7" s="46" t="str" cm="1">
        <f t="array" ref="BE7">+IFERROR(_xlfn.CONCAT(_xlfn.UNIQUE(_xlfn._xlws.FILTER(BE$19:BE$1010,(($A$19:$A$1010=$A7)*(BE$19:BE$1010&lt;&gt;0)*(BE$19:BE$1010&lt;&gt;"F"))))),"")</f>
        <v/>
      </c>
      <c r="BF7" s="47" t="str" cm="1">
        <f t="array" ref="BF7">+IFERROR(_xlfn.CONCAT(_xlfn.UNIQUE(_xlfn._xlws.FILTER(BF$19:BF$1010,(($A$19:$A$1010=$A7)*(BF$19:BF$1010&lt;&gt;0)*(BF$19:BF$1010&lt;&gt;"F"))))),"")</f>
        <v/>
      </c>
      <c r="BG7" s="45" t="str" cm="1">
        <f t="array" ref="BG7">+IFERROR(_xlfn.CONCAT(_xlfn.UNIQUE(_xlfn._xlws.FILTER(BG$19:BG$1010,(($A$19:$A$1010=$A7)*(BG$19:BG$1010&lt;&gt;0)*(BG$19:BG$1010&lt;&gt;"F"))))),"")</f>
        <v/>
      </c>
      <c r="BH7" s="46" t="str" cm="1">
        <f t="array" ref="BH7">+IFERROR(_xlfn.CONCAT(_xlfn.UNIQUE(_xlfn._xlws.FILTER(BH$19:BH$1010,(($A$19:$A$1010=$A7)*(BH$19:BH$1010&lt;&gt;0)*(BH$19:BH$1010&lt;&gt;"F"))))),"")</f>
        <v/>
      </c>
      <c r="BI7" s="46" t="str" cm="1">
        <f t="array" ref="BI7">+IFERROR(_xlfn.CONCAT(_xlfn.UNIQUE(_xlfn._xlws.FILTER(BI$19:BI$1010,(($A$19:$A$1010=$A7)*(BI$19:BI$1010&lt;&gt;0)*(BI$19:BI$1010&lt;&gt;"F"))))),"")</f>
        <v/>
      </c>
      <c r="BJ7" s="46" t="str" cm="1">
        <f t="array" ref="BJ7">+IFERROR(_xlfn.CONCAT(_xlfn.UNIQUE(_xlfn._xlws.FILTER(BJ$19:BJ$1010,(($A$19:$A$1010=$A7)*(BJ$19:BJ$1010&lt;&gt;0)*(BJ$19:BJ$1010&lt;&gt;"F"))))),"")</f>
        <v/>
      </c>
      <c r="BK7" s="47" t="str" cm="1">
        <f t="array" ref="BK7">+IFERROR(_xlfn.CONCAT(_xlfn.UNIQUE(_xlfn._xlws.FILTER(BK$19:BK$1010,(($A$19:$A$1010=$A7)*(BK$19:BK$1010&lt;&gt;0)*(BK$19:BK$1010&lt;&gt;"F"))))),"")</f>
        <v/>
      </c>
      <c r="BL7" s="45" t="str" cm="1">
        <f t="array" ref="BL7">+IFERROR(_xlfn.CONCAT(_xlfn.UNIQUE(_xlfn._xlws.FILTER(BL$19:BL$1010,(($A$19:$A$1010=$A7)*(BL$19:BL$1010&lt;&gt;0)*(BL$19:BL$1010&lt;&gt;"F"))))),"")</f>
        <v/>
      </c>
      <c r="BM7" s="46" t="str" cm="1">
        <f t="array" ref="BM7">+IFERROR(_xlfn.CONCAT(_xlfn.UNIQUE(_xlfn._xlws.FILTER(BM$19:BM$1010,(($A$19:$A$1010=$A7)*(BM$19:BM$1010&lt;&gt;0)*(BM$19:BM$1010&lt;&gt;"F"))))),"")</f>
        <v/>
      </c>
      <c r="BN7" s="46" t="str" cm="1">
        <f t="array" ref="BN7">+IFERROR(_xlfn.CONCAT(_xlfn.UNIQUE(_xlfn._xlws.FILTER(BN$19:BN$1010,(($A$19:$A$1010=$A7)*(BN$19:BN$1010&lt;&gt;0)*(BN$19:BN$1010&lt;&gt;"F"))))),"")</f>
        <v/>
      </c>
      <c r="BO7" s="47" t="str" cm="1">
        <f t="array" ref="BO7">+IFERROR(_xlfn.CONCAT(_xlfn.UNIQUE(_xlfn._xlws.FILTER(BO$19:BO$1010,(($A$19:$A$1010=$A7)*(BO$19:BO$1010&lt;&gt;0)*(BO$19:BO$1010&lt;&gt;"F"))))),"")</f>
        <v/>
      </c>
      <c r="BP7" s="45" t="str" cm="1">
        <f t="array" ref="BP7">+IFERROR(_xlfn.CONCAT(_xlfn.UNIQUE(_xlfn._xlws.FILTER(BP$19:BP$1010,(($A$19:$A$1010=$A7)*(BP$19:BP$1010&lt;&gt;0)*(BP$19:BP$1010&lt;&gt;"F"))))),"")</f>
        <v/>
      </c>
      <c r="BQ7" s="46" t="str" cm="1">
        <f t="array" ref="BQ7">+IFERROR(_xlfn.CONCAT(_xlfn.UNIQUE(_xlfn._xlws.FILTER(BQ$19:BQ$1010,(($A$19:$A$1010=$A7)*(BQ$19:BQ$1010&lt;&gt;0)*(BQ$19:BQ$1010&lt;&gt;"F"))))),"")</f>
        <v/>
      </c>
      <c r="BR7" s="46" t="str" cm="1">
        <f t="array" ref="BR7">+IFERROR(_xlfn.CONCAT(_xlfn.UNIQUE(_xlfn._xlws.FILTER(BR$19:BR$1010,(($A$19:$A$1010=$A7)*(BR$19:BR$1010&lt;&gt;0)*(BR$19:BR$1010&lt;&gt;"F"))))),"")</f>
        <v/>
      </c>
      <c r="BS7" s="47" t="str" cm="1">
        <f t="array" ref="BS7">+IFERROR(_xlfn.CONCAT(_xlfn.UNIQUE(_xlfn._xlws.FILTER(BS$19:BS$1010,(($A$19:$A$1010=$A7)*(BS$19:BS$1010&lt;&gt;0)*(BS$19:BS$1010&lt;&gt;"F"))))),"")</f>
        <v/>
      </c>
    </row>
    <row r="8" spans="1:71" s="13" customFormat="1" ht="39.9" customHeight="1" x14ac:dyDescent="0.3">
      <c r="A8" s="57" t="str">
        <v>RAVEX - ROTEIRIZACAO DE GADO</v>
      </c>
      <c r="B8" s="27"/>
      <c r="C8" s="28">
        <v>1200000</v>
      </c>
      <c r="D8" s="29" t="str">
        <v>Estratégico</v>
      </c>
      <c r="E8" s="29" t="str">
        <v>Implantação Sistema Terceiro</v>
      </c>
      <c r="F8" s="29" t="str">
        <v>Média</v>
      </c>
      <c r="G8" s="45" t="str" cm="1">
        <f t="array" ref="G8">+IFERROR(_xlfn.CONCAT(_xlfn.UNIQUE(_xlfn._xlws.FILTER(G$19:G$1010,(($A$19:$A$1010=$A8)*(G$19:G$1010&lt;&gt;0)*(G$19:G$1010&lt;&gt;"F"))))),"")</f>
        <v/>
      </c>
      <c r="H8" s="46" t="str" cm="1">
        <f t="array" ref="H8">+IFERROR(_xlfn.CONCAT(_xlfn.UNIQUE(_xlfn._xlws.FILTER(H$19:H$1010,(($A$19:$A$1010=$A8)*(H$19:H$1010&lt;&gt;0)*(H$19:H$1010&lt;&gt;"F"))))),"")</f>
        <v/>
      </c>
      <c r="I8" s="46" t="str" cm="1">
        <f t="array" ref="I8">+IFERROR(_xlfn.CONCAT(_xlfn.UNIQUE(_xlfn._xlws.FILTER(I$19:I$1010,(($A$19:$A$1010=$A8)*(I$19:I$1010&lt;&gt;0)*(I$19:I$1010&lt;&gt;"F"))))),"")</f>
        <v/>
      </c>
      <c r="J8" s="46" t="str" cm="1">
        <f t="array" ref="J8">+IFERROR(_xlfn.CONCAT(_xlfn.UNIQUE(_xlfn._xlws.FILTER(J$19:J$1010,(($A$19:$A$1010=$A8)*(J$19:J$1010&lt;&gt;0)*(J$19:J$1010&lt;&gt;"F"))))),"")</f>
        <v/>
      </c>
      <c r="K8" s="47" t="str" cm="1">
        <f t="array" ref="K8">+IFERROR(_xlfn.CONCAT(_xlfn.UNIQUE(_xlfn._xlws.FILTER(K$19:K$1010,(($A$19:$A$1010=$A8)*(K$19:K$1010&lt;&gt;0)*(K$19:K$1010&lt;&gt;"F"))))),"")</f>
        <v/>
      </c>
      <c r="L8" s="45" t="str" cm="1">
        <f t="array" ref="L8">+IFERROR(_xlfn.CONCAT(_xlfn.UNIQUE(_xlfn._xlws.FILTER(L$19:L$1010,(($A$19:$A$1010=$A8)*(L$19:L$1010&lt;&gt;0)*(L$19:L$1010&lt;&gt;"F"))))),"")</f>
        <v/>
      </c>
      <c r="M8" s="46" t="str" cm="1">
        <f t="array" ref="M8">+IFERROR(_xlfn.CONCAT(_xlfn.UNIQUE(_xlfn._xlws.FILTER(M$19:M$1010,(($A$19:$A$1010=$A8)*(M$19:M$1010&lt;&gt;0)*(M$19:M$1010&lt;&gt;"F"))))),"")</f>
        <v/>
      </c>
      <c r="N8" s="46" t="str" cm="1">
        <f t="array" ref="N8">+IFERROR(_xlfn.CONCAT(_xlfn.UNIQUE(_xlfn._xlws.FILTER(N$19:N$1010,(($A$19:$A$1010=$A8)*(N$19:N$1010&lt;&gt;0)*(N$19:N$1010&lt;&gt;"F"))))),"")</f>
        <v/>
      </c>
      <c r="O8" s="47" t="str" cm="1">
        <f t="array" ref="O8">+IFERROR(_xlfn.CONCAT(_xlfn.UNIQUE(_xlfn._xlws.FILTER(O$19:O$1010,(($A$19:$A$1010=$A8)*(O$19:O$1010&lt;&gt;0)*(O$19:O$1010&lt;&gt;"F"))))),"")</f>
        <v/>
      </c>
      <c r="P8" s="45" t="str" cm="1">
        <f t="array" ref="P8">+IFERROR(_xlfn.CONCAT(_xlfn.UNIQUE(_xlfn._xlws.FILTER(P$19:P$1010,(($A$19:$A$1010=$A8)*(P$19:P$1010&lt;&gt;0)*(P$19:P$1010&lt;&gt;"F"))))),"")</f>
        <v/>
      </c>
      <c r="Q8" s="46" t="str" cm="1">
        <f t="array" ref="Q8">+IFERROR(_xlfn.CONCAT(_xlfn.UNIQUE(_xlfn._xlws.FILTER(Q$19:Q$1010,(($A$19:$A$1010=$A8)*(Q$19:Q$1010&lt;&gt;0)*(Q$19:Q$1010&lt;&gt;"F"))))),"")</f>
        <v/>
      </c>
      <c r="R8" s="46" t="str" cm="1">
        <f t="array" ref="R8">+IFERROR(_xlfn.CONCAT(_xlfn.UNIQUE(_xlfn._xlws.FILTER(R$19:R$1010,(($A$19:$A$1010=$A8)*(R$19:R$1010&lt;&gt;0)*(R$19:R$1010&lt;&gt;"F"))))),"")</f>
        <v/>
      </c>
      <c r="S8" s="47" t="str" cm="1">
        <f t="array" ref="S8">+IFERROR(_xlfn.CONCAT(_xlfn.UNIQUE(_xlfn._xlws.FILTER(S$19:S$1010,(($A$19:$A$1010=$A8)*(S$19:S$1010&lt;&gt;0)*(S$19:S$1010&lt;&gt;"F"))))),"")</f>
        <v/>
      </c>
      <c r="T8" s="45" t="str" cm="1">
        <f t="array" ref="T8">+IFERROR(_xlfn.CONCAT(_xlfn.UNIQUE(_xlfn._xlws.FILTER(T$19:T$1010,(($A$19:$A$1010=$A8)*(T$19:T$1010&lt;&gt;0)*(T$19:T$1010&lt;&gt;"F"))))),"")</f>
        <v/>
      </c>
      <c r="U8" s="46" t="str" cm="1">
        <f t="array" ref="U8">+IFERROR(_xlfn.CONCAT(_xlfn.UNIQUE(_xlfn._xlws.FILTER(U$19:U$1010,(($A$19:$A$1010=$A8)*(U$19:U$1010&lt;&gt;0)*(U$19:U$1010&lt;&gt;"F"))))),"")</f>
        <v/>
      </c>
      <c r="V8" s="46" t="str" cm="1">
        <f t="array" ref="V8">+IFERROR(_xlfn.CONCAT(_xlfn.UNIQUE(_xlfn._xlws.FILTER(V$19:V$1010,(($A$19:$A$1010=$A8)*(V$19:V$1010&lt;&gt;0)*(V$19:V$1010&lt;&gt;"F"))))),"")</f>
        <v/>
      </c>
      <c r="W8" s="46" t="str" cm="1">
        <f t="array" ref="W8">+IFERROR(_xlfn.CONCAT(_xlfn.UNIQUE(_xlfn._xlws.FILTER(W$19:W$1010,(($A$19:$A$1010=$A8)*(W$19:W$1010&lt;&gt;0)*(W$19:W$1010&lt;&gt;"F"))))),"")</f>
        <v/>
      </c>
      <c r="X8" s="47" t="str" cm="1">
        <f t="array" ref="X8">+IFERROR(_xlfn.CONCAT(_xlfn.UNIQUE(_xlfn._xlws.FILTER(X$19:X$1010,(($A$19:$A$1010=$A8)*(X$19:X$1010&lt;&gt;0)*(X$19:X$1010&lt;&gt;"F"))))),"")</f>
        <v/>
      </c>
      <c r="Y8" s="45" t="str" cm="1">
        <f t="array" ref="Y8">+IFERROR(_xlfn.CONCAT(_xlfn.UNIQUE(_xlfn._xlws.FILTER(Y$19:Y$1010,(($A$19:$A$1010=$A8)*(Y$19:Y$1010&lt;&gt;0)*(Y$19:Y$1010&lt;&gt;"F"))))),"")</f>
        <v/>
      </c>
      <c r="Z8" s="46" t="str" cm="1">
        <f t="array" ref="Z8">+IFERROR(_xlfn.CONCAT(_xlfn.UNIQUE(_xlfn._xlws.FILTER(Z$19:Z$1010,(($A$19:$A$1010=$A8)*(Z$19:Z$1010&lt;&gt;0)*(Z$19:Z$1010&lt;&gt;"F"))))),"")</f>
        <v/>
      </c>
      <c r="AA8" s="46" t="str" cm="1">
        <f t="array" ref="AA8">+IFERROR(_xlfn.CONCAT(_xlfn.UNIQUE(_xlfn._xlws.FILTER(AA$19:AA$1010,(($A$19:$A$1010=$A8)*(AA$19:AA$1010&lt;&gt;0)*(AA$19:AA$1010&lt;&gt;"F"))))),"")</f>
        <v/>
      </c>
      <c r="AB8" s="47" t="str" cm="1">
        <f t="array" ref="AB8">+IFERROR(_xlfn.CONCAT(_xlfn.UNIQUE(_xlfn._xlws.FILTER(AB$19:AB$1010,(($A$19:$A$1010=$A8)*(AB$19:AB$1010&lt;&gt;0)*(AB$19:AB$1010&lt;&gt;"F"))))),"")</f>
        <v/>
      </c>
      <c r="AC8" s="45" t="str" cm="1">
        <f t="array" ref="AC8">+IFERROR(_xlfn.CONCAT(_xlfn.UNIQUE(_xlfn._xlws.FILTER(AC$19:AC$1010,(($A$19:$A$1010=$A8)*(AC$19:AC$1010&lt;&gt;0)*(AC$19:AC$1010&lt;&gt;"F"))))),"")</f>
        <v/>
      </c>
      <c r="AD8" s="46" t="str" cm="1">
        <f t="array" ref="AD8">+IFERROR(_xlfn.CONCAT(_xlfn.UNIQUE(_xlfn._xlws.FILTER(AD$19:AD$1010,(($A$19:$A$1010=$A8)*(AD$19:AD$1010&lt;&gt;0)*(AD$19:AD$1010&lt;&gt;"F"))))),"")</f>
        <v/>
      </c>
      <c r="AE8" s="46" t="str" cm="1">
        <f t="array" ref="AE8">+IFERROR(_xlfn.CONCAT(_xlfn.UNIQUE(_xlfn._xlws.FILTER(AE$19:AE$1010,(($A$19:$A$1010=$A8)*(AE$19:AE$1010&lt;&gt;0)*(AE$19:AE$1010&lt;&gt;"F"))))),"")</f>
        <v/>
      </c>
      <c r="AF8" s="47" t="str" cm="1">
        <f t="array" ref="AF8">+IFERROR(_xlfn.CONCAT(_xlfn.UNIQUE(_xlfn._xlws.FILTER(AF$19:AF$1010,(($A$19:$A$1010=$A8)*(AF$19:AF$1010&lt;&gt;0)*(AF$19:AF$1010&lt;&gt;"F"))))),"")</f>
        <v/>
      </c>
      <c r="AG8" s="45" t="str" cm="1">
        <f t="array" ref="AG8">+IFERROR(_xlfn.CONCAT(_xlfn.UNIQUE(_xlfn._xlws.FILTER(AG$19:AG$1010,(($A$19:$A$1010=$A8)*(AG$19:AG$1010&lt;&gt;0)*(AG$19:AG$1010&lt;&gt;"F"))))),"")</f>
        <v/>
      </c>
      <c r="AH8" s="46" t="str" cm="1">
        <f t="array" ref="AH8">+IFERROR(_xlfn.CONCAT(_xlfn.UNIQUE(_xlfn._xlws.FILTER(AH$19:AH$1010,(($A$19:$A$1010=$A8)*(AH$19:AH$1010&lt;&gt;0)*(AH$19:AH$1010&lt;&gt;"F"))))),"")</f>
        <v/>
      </c>
      <c r="AI8" s="46" t="str" cm="1">
        <f t="array" ref="AI8">+IFERROR(_xlfn.CONCAT(_xlfn.UNIQUE(_xlfn._xlws.FILTER(AI$19:AI$1010,(($A$19:$A$1010=$A8)*(AI$19:AI$1010&lt;&gt;0)*(AI$19:AI$1010&lt;&gt;"F"))))),"")</f>
        <v/>
      </c>
      <c r="AJ8" s="46" t="str" cm="1">
        <f t="array" ref="AJ8">+IFERROR(_xlfn.CONCAT(_xlfn.UNIQUE(_xlfn._xlws.FILTER(AJ$19:AJ$1010,(($A$19:$A$1010=$A8)*(AJ$19:AJ$1010&lt;&gt;0)*(AJ$19:AJ$1010&lt;&gt;"F"))))),"")</f>
        <v/>
      </c>
      <c r="AK8" s="47" t="str" cm="1">
        <f t="array" ref="AK8">+IFERROR(_xlfn.CONCAT(_xlfn.UNIQUE(_xlfn._xlws.FILTER(AK$19:AK$1010,(($A$19:$A$1010=$A8)*(AK$19:AK$1010&lt;&gt;0)*(AK$19:AK$1010&lt;&gt;"F"))))),"")</f>
        <v/>
      </c>
      <c r="AL8" s="45" t="str" cm="1">
        <f t="array" ref="AL8">+IFERROR(_xlfn.CONCAT(_xlfn.UNIQUE(_xlfn._xlws.FILTER(AL$19:AL$1010,(($A$19:$A$1010=$A8)*(AL$19:AL$1010&lt;&gt;0)*(AL$19:AL$1010&lt;&gt;"F"))))),"")</f>
        <v/>
      </c>
      <c r="AM8" s="46" t="str" cm="1">
        <f t="array" ref="AM8">+IFERROR(_xlfn.CONCAT(_xlfn.UNIQUE(_xlfn._xlws.FILTER(AM$19:AM$1010,(($A$19:$A$1010=$A8)*(AM$19:AM$1010&lt;&gt;0)*(AM$19:AM$1010&lt;&gt;"F"))))),"")</f>
        <v/>
      </c>
      <c r="AN8" s="46" t="str" cm="1">
        <f t="array" ref="AN8">+IFERROR(_xlfn.CONCAT(_xlfn.UNIQUE(_xlfn._xlws.FILTER(AN$19:AN$1010,(($A$19:$A$1010=$A8)*(AN$19:AN$1010&lt;&gt;0)*(AN$19:AN$1010&lt;&gt;"F"))))),"")</f>
        <v/>
      </c>
      <c r="AO8" s="47" t="str" cm="1">
        <f t="array" ref="AO8">+IFERROR(_xlfn.CONCAT(_xlfn.UNIQUE(_xlfn._xlws.FILTER(AO$19:AO$1010,(($A$19:$A$1010=$A8)*(AO$19:AO$1010&lt;&gt;0)*(AO$19:AO$1010&lt;&gt;"F"))))),"")</f>
        <v/>
      </c>
      <c r="AP8" s="45" t="str" cm="1">
        <f t="array" ref="AP8">+IFERROR(_xlfn.CONCAT(_xlfn.UNIQUE(_xlfn._xlws.FILTER(AP$19:AP$1010,(($A$19:$A$1010=$A8)*(AP$19:AP$1010&lt;&gt;0)*(AP$19:AP$1010&lt;&gt;"F"))))),"")</f>
        <v/>
      </c>
      <c r="AQ8" s="46" t="str" cm="1">
        <f t="array" ref="AQ8">+IFERROR(_xlfn.CONCAT(_xlfn.UNIQUE(_xlfn._xlws.FILTER(AQ$19:AQ$1010,(($A$19:$A$1010=$A8)*(AQ$19:AQ$1010&lt;&gt;0)*(AQ$19:AQ$1010&lt;&gt;"F"))))),"")</f>
        <v/>
      </c>
      <c r="AR8" s="46" t="str" cm="1">
        <f t="array" ref="AR8">+IFERROR(_xlfn.CONCAT(_xlfn.UNIQUE(_xlfn._xlws.FILTER(AR$19:AR$1010,(($A$19:$A$1010=$A8)*(AR$19:AR$1010&lt;&gt;0)*(AR$19:AR$1010&lt;&gt;"F"))))),"")</f>
        <v/>
      </c>
      <c r="AS8" s="47" t="str" cm="1">
        <f t="array" ref="AS8">+IFERROR(_xlfn.CONCAT(_xlfn.UNIQUE(_xlfn._xlws.FILTER(AS$19:AS$1010,(($A$19:$A$1010=$A8)*(AS$19:AS$1010&lt;&gt;0)*(AS$19:AS$1010&lt;&gt;"F"))))),"")</f>
        <v/>
      </c>
      <c r="AT8" s="45" t="str" cm="1">
        <f t="array" ref="AT8">+IFERROR(_xlfn.CONCAT(_xlfn.UNIQUE(_xlfn._xlws.FILTER(AT$19:AT$1010,(($A$19:$A$1010=$A8)*(AT$19:AT$1010&lt;&gt;0)*(AT$19:AT$1010&lt;&gt;"F"))))),"")</f>
        <v/>
      </c>
      <c r="AU8" s="46" t="str" cm="1">
        <f t="array" ref="AU8">+IFERROR(_xlfn.CONCAT(_xlfn.UNIQUE(_xlfn._xlws.FILTER(AU$19:AU$1010,(($A$19:$A$1010=$A8)*(AU$19:AU$1010&lt;&gt;0)*(AU$19:AU$1010&lt;&gt;"F"))))),"")</f>
        <v/>
      </c>
      <c r="AV8" s="46" t="str" cm="1">
        <f t="array" ref="AV8">+IFERROR(_xlfn.CONCAT(_xlfn.UNIQUE(_xlfn._xlws.FILTER(AV$19:AV$1010,(($A$19:$A$1010=$A8)*(AV$19:AV$1010&lt;&gt;0)*(AV$19:AV$1010&lt;&gt;"F"))))),"")</f>
        <v/>
      </c>
      <c r="AW8" s="46" t="str" cm="1">
        <f t="array" ref="AW8">+IFERROR(_xlfn.CONCAT(_xlfn.UNIQUE(_xlfn._xlws.FILTER(AW$19:AW$1010,(($A$19:$A$1010=$A8)*(AW$19:AW$1010&lt;&gt;0)*(AW$19:AW$1010&lt;&gt;"F"))))),"")</f>
        <v/>
      </c>
      <c r="AX8" s="47" t="str" cm="1">
        <f t="array" ref="AX8">+IFERROR(_xlfn.CONCAT(_xlfn.UNIQUE(_xlfn._xlws.FILTER(AX$19:AX$1010,(($A$19:$A$1010=$A8)*(AX$19:AX$1010&lt;&gt;0)*(AX$19:AX$1010&lt;&gt;"F"))))),"")</f>
        <v/>
      </c>
      <c r="AY8" s="45" t="str" cm="1">
        <f t="array" ref="AY8">+IFERROR(_xlfn.CONCAT(_xlfn.UNIQUE(_xlfn._xlws.FILTER(AY$19:AY$1010,(($A$19:$A$1010=$A8)*(AY$19:AY$1010&lt;&gt;0)*(AY$19:AY$1010&lt;&gt;"F"))))),"")</f>
        <v/>
      </c>
      <c r="AZ8" s="46" t="str" cm="1">
        <f t="array" ref="AZ8">+IFERROR(_xlfn.CONCAT(_xlfn.UNIQUE(_xlfn._xlws.FILTER(AZ$19:AZ$1010,(($A$19:$A$1010=$A8)*(AZ$19:AZ$1010&lt;&gt;0)*(AZ$19:AZ$1010&lt;&gt;"F"))))),"")</f>
        <v/>
      </c>
      <c r="BA8" s="46" t="str" cm="1">
        <f t="array" ref="BA8">+IFERROR(_xlfn.CONCAT(_xlfn.UNIQUE(_xlfn._xlws.FILTER(BA$19:BA$1010,(($A$19:$A$1010=$A8)*(BA$19:BA$1010&lt;&gt;0)*(BA$19:BA$1010&lt;&gt;"F"))))),"")</f>
        <v/>
      </c>
      <c r="BB8" s="47" t="str" cm="1">
        <f t="array" ref="BB8">+IFERROR(_xlfn.CONCAT(_xlfn.UNIQUE(_xlfn._xlws.FILTER(BB$19:BB$1010,(($A$19:$A$1010=$A8)*(BB$19:BB$1010&lt;&gt;0)*(BB$19:BB$1010&lt;&gt;"F"))))),"")</f>
        <v/>
      </c>
      <c r="BC8" s="45" t="str" cm="1">
        <f t="array" ref="BC8">+IFERROR(_xlfn.CONCAT(_xlfn.UNIQUE(_xlfn._xlws.FILTER(BC$19:BC$1010,(($A$19:$A$1010=$A8)*(BC$19:BC$1010&lt;&gt;0)*(BC$19:BC$1010&lt;&gt;"F"))))),"")</f>
        <v/>
      </c>
      <c r="BD8" s="46" t="str" cm="1">
        <f t="array" ref="BD8">+IFERROR(_xlfn.CONCAT(_xlfn.UNIQUE(_xlfn._xlws.FILTER(BD$19:BD$1010,(($A$19:$A$1010=$A8)*(BD$19:BD$1010&lt;&gt;0)*(BD$19:BD$1010&lt;&gt;"F"))))),"")</f>
        <v/>
      </c>
      <c r="BE8" s="46" t="str" cm="1">
        <f t="array" ref="BE8">+IFERROR(_xlfn.CONCAT(_xlfn.UNIQUE(_xlfn._xlws.FILTER(BE$19:BE$1010,(($A$19:$A$1010=$A8)*(BE$19:BE$1010&lt;&gt;0)*(BE$19:BE$1010&lt;&gt;"F"))))),"")</f>
        <v/>
      </c>
      <c r="BF8" s="47" t="str" cm="1">
        <f t="array" ref="BF8">+IFERROR(_xlfn.CONCAT(_xlfn.UNIQUE(_xlfn._xlws.FILTER(BF$19:BF$1010,(($A$19:$A$1010=$A8)*(BF$19:BF$1010&lt;&gt;0)*(BF$19:BF$1010&lt;&gt;"F"))))),"")</f>
        <v/>
      </c>
      <c r="BG8" s="45" t="str" cm="1">
        <f t="array" ref="BG8">+IFERROR(_xlfn.CONCAT(_xlfn.UNIQUE(_xlfn._xlws.FILTER(BG$19:BG$1010,(($A$19:$A$1010=$A8)*(BG$19:BG$1010&lt;&gt;0)*(BG$19:BG$1010&lt;&gt;"F"))))),"")</f>
        <v/>
      </c>
      <c r="BH8" s="46" t="str" cm="1">
        <f t="array" ref="BH8">+IFERROR(_xlfn.CONCAT(_xlfn.UNIQUE(_xlfn._xlws.FILTER(BH$19:BH$1010,(($A$19:$A$1010=$A8)*(BH$19:BH$1010&lt;&gt;0)*(BH$19:BH$1010&lt;&gt;"F"))))),"")</f>
        <v/>
      </c>
      <c r="BI8" s="46" t="str" cm="1">
        <f t="array" ref="BI8">+IFERROR(_xlfn.CONCAT(_xlfn.UNIQUE(_xlfn._xlws.FILTER(BI$19:BI$1010,(($A$19:$A$1010=$A8)*(BI$19:BI$1010&lt;&gt;0)*(BI$19:BI$1010&lt;&gt;"F"))))),"")</f>
        <v/>
      </c>
      <c r="BJ8" s="46" t="str" cm="1">
        <f t="array" ref="BJ8">+IFERROR(_xlfn.CONCAT(_xlfn.UNIQUE(_xlfn._xlws.FILTER(BJ$19:BJ$1010,(($A$19:$A$1010=$A8)*(BJ$19:BJ$1010&lt;&gt;0)*(BJ$19:BJ$1010&lt;&gt;"F"))))),"")</f>
        <v/>
      </c>
      <c r="BK8" s="47" t="str" cm="1">
        <f t="array" ref="BK8">+IFERROR(_xlfn.CONCAT(_xlfn.UNIQUE(_xlfn._xlws.FILTER(BK$19:BK$1010,(($A$19:$A$1010=$A8)*(BK$19:BK$1010&lt;&gt;0)*(BK$19:BK$1010&lt;&gt;"F"))))),"")</f>
        <v/>
      </c>
      <c r="BL8" s="45" t="str" cm="1">
        <f t="array" ref="BL8">+IFERROR(_xlfn.CONCAT(_xlfn.UNIQUE(_xlfn._xlws.FILTER(BL$19:BL$1010,(($A$19:$A$1010=$A8)*(BL$19:BL$1010&lt;&gt;0)*(BL$19:BL$1010&lt;&gt;"F"))))),"")</f>
        <v/>
      </c>
      <c r="BM8" s="46" t="str" cm="1">
        <f t="array" ref="BM8">+IFERROR(_xlfn.CONCAT(_xlfn.UNIQUE(_xlfn._xlws.FILTER(BM$19:BM$1010,(($A$19:$A$1010=$A8)*(BM$19:BM$1010&lt;&gt;0)*(BM$19:BM$1010&lt;&gt;"F"))))),"")</f>
        <v/>
      </c>
      <c r="BN8" s="46" t="str" cm="1">
        <f t="array" ref="BN8">+IFERROR(_xlfn.CONCAT(_xlfn.UNIQUE(_xlfn._xlws.FILTER(BN$19:BN$1010,(($A$19:$A$1010=$A8)*(BN$19:BN$1010&lt;&gt;0)*(BN$19:BN$1010&lt;&gt;"F"))))),"")</f>
        <v/>
      </c>
      <c r="BO8" s="47" t="str" cm="1">
        <f t="array" ref="BO8">+IFERROR(_xlfn.CONCAT(_xlfn.UNIQUE(_xlfn._xlws.FILTER(BO$19:BO$1010,(($A$19:$A$1010=$A8)*(BO$19:BO$1010&lt;&gt;0)*(BO$19:BO$1010&lt;&gt;"F"))))),"")</f>
        <v/>
      </c>
      <c r="BP8" s="45" t="str" cm="1">
        <f t="array" ref="BP8">+IFERROR(_xlfn.CONCAT(_xlfn.UNIQUE(_xlfn._xlws.FILTER(BP$19:BP$1010,(($A$19:$A$1010=$A8)*(BP$19:BP$1010&lt;&gt;0)*(BP$19:BP$1010&lt;&gt;"F"))))),"")</f>
        <v/>
      </c>
      <c r="BQ8" s="46" t="str" cm="1">
        <f t="array" ref="BQ8">+IFERROR(_xlfn.CONCAT(_xlfn.UNIQUE(_xlfn._xlws.FILTER(BQ$19:BQ$1010,(($A$19:$A$1010=$A8)*(BQ$19:BQ$1010&lt;&gt;0)*(BQ$19:BQ$1010&lt;&gt;"F"))))),"")</f>
        <v/>
      </c>
      <c r="BR8" s="46" t="str" cm="1">
        <f t="array" ref="BR8">+IFERROR(_xlfn.CONCAT(_xlfn.UNIQUE(_xlfn._xlws.FILTER(BR$19:BR$1010,(($A$19:$A$1010=$A8)*(BR$19:BR$1010&lt;&gt;0)*(BR$19:BR$1010&lt;&gt;"F"))))),"")</f>
        <v/>
      </c>
      <c r="BS8" s="47" t="str" cm="1">
        <f t="array" ref="BS8">+IFERROR(_xlfn.CONCAT(_xlfn.UNIQUE(_xlfn._xlws.FILTER(BS$19:BS$1010,(($A$19:$A$1010=$A8)*(BS$19:BS$1010&lt;&gt;0)*(BS$19:BS$1010&lt;&gt;"F"))))),"")</f>
        <v/>
      </c>
    </row>
    <row r="9" spans="1:71" s="13" customFormat="1" ht="39.9" customHeight="1" x14ac:dyDescent="0.3">
      <c r="A9" s="57" t="str">
        <v>TABELA DE FRETES - FAIXA KM/KG</v>
      </c>
      <c r="B9" s="27"/>
      <c r="C9" s="28">
        <v>3600000</v>
      </c>
      <c r="D9" s="29" t="str">
        <v>Evolução do Produto</v>
      </c>
      <c r="E9" s="29" t="str">
        <v>Evolução, Melhoria ou Adequação</v>
      </c>
      <c r="F9" s="29" t="str">
        <v>Muito Alta</v>
      </c>
      <c r="G9" s="45" t="str" cm="1">
        <f t="array" ref="G9">+IFERROR(_xlfn.CONCAT(_xlfn.UNIQUE(_xlfn._xlws.FILTER(G$19:G$1010,(($A$19:$A$1010=$A9)*(G$19:G$1010&lt;&gt;0)*(G$19:G$1010&lt;&gt;"F"))))),"")</f>
        <v/>
      </c>
      <c r="H9" s="46" t="str" cm="1">
        <f t="array" ref="H9">+IFERROR(_xlfn.CONCAT(_xlfn.UNIQUE(_xlfn._xlws.FILTER(H$19:H$1010,(($A$19:$A$1010=$A9)*(H$19:H$1010&lt;&gt;0)*(H$19:H$1010&lt;&gt;"F"))))),"")</f>
        <v/>
      </c>
      <c r="I9" s="46" t="str" cm="1">
        <f t="array" ref="I9">+IFERROR(_xlfn.CONCAT(_xlfn.UNIQUE(_xlfn._xlws.FILTER(I$19:I$1010,(($A$19:$A$1010=$A9)*(I$19:I$1010&lt;&gt;0)*(I$19:I$1010&lt;&gt;"F"))))),"")</f>
        <v/>
      </c>
      <c r="J9" s="46" t="str" cm="1">
        <f t="array" ref="J9">+IFERROR(_xlfn.CONCAT(_xlfn.UNIQUE(_xlfn._xlws.FILTER(J$19:J$1010,(($A$19:$A$1010=$A9)*(J$19:J$1010&lt;&gt;0)*(J$19:J$1010&lt;&gt;"F"))))),"")</f>
        <v/>
      </c>
      <c r="K9" s="47" t="str" cm="1">
        <f t="array" ref="K9">+IFERROR(_xlfn.CONCAT(_xlfn.UNIQUE(_xlfn._xlws.FILTER(K$19:K$1010,(($A$19:$A$1010=$A9)*(K$19:K$1010&lt;&gt;0)*(K$19:K$1010&lt;&gt;"F"))))),"")</f>
        <v/>
      </c>
      <c r="L9" s="45" t="str" cm="1">
        <f t="array" ref="L9">+IFERROR(_xlfn.CONCAT(_xlfn.UNIQUE(_xlfn._xlws.FILTER(L$19:L$1010,(($A$19:$A$1010=$A9)*(L$19:L$1010&lt;&gt;0)*(L$19:L$1010&lt;&gt;"F"))))),"")</f>
        <v/>
      </c>
      <c r="M9" s="46" t="str" cm="1">
        <f t="array" ref="M9">+IFERROR(_xlfn.CONCAT(_xlfn.UNIQUE(_xlfn._xlws.FILTER(M$19:M$1010,(($A$19:$A$1010=$A9)*(M$19:M$1010&lt;&gt;0)*(M$19:M$1010&lt;&gt;"F"))))),"")</f>
        <v/>
      </c>
      <c r="N9" s="46" t="str" cm="1">
        <f t="array" ref="N9">+IFERROR(_xlfn.CONCAT(_xlfn.UNIQUE(_xlfn._xlws.FILTER(N$19:N$1010,(($A$19:$A$1010=$A9)*(N$19:N$1010&lt;&gt;0)*(N$19:N$1010&lt;&gt;"F"))))),"")</f>
        <v/>
      </c>
      <c r="O9" s="47" t="str" cm="1">
        <f t="array" ref="O9">+IFERROR(_xlfn.CONCAT(_xlfn.UNIQUE(_xlfn._xlws.FILTER(O$19:O$1010,(($A$19:$A$1010=$A9)*(O$19:O$1010&lt;&gt;0)*(O$19:O$1010&lt;&gt;"F"))))),"")</f>
        <v/>
      </c>
      <c r="P9" s="45" t="str" cm="1">
        <f t="array" ref="P9">+IFERROR(_xlfn.CONCAT(_xlfn.UNIQUE(_xlfn._xlws.FILTER(P$19:P$1010,(($A$19:$A$1010=$A9)*(P$19:P$1010&lt;&gt;0)*(P$19:P$1010&lt;&gt;"F"))))),"")</f>
        <v/>
      </c>
      <c r="Q9" s="46" t="str" cm="1">
        <f t="array" ref="Q9">+IFERROR(_xlfn.CONCAT(_xlfn.UNIQUE(_xlfn._xlws.FILTER(Q$19:Q$1010,(($A$19:$A$1010=$A9)*(Q$19:Q$1010&lt;&gt;0)*(Q$19:Q$1010&lt;&gt;"F"))))),"")</f>
        <v/>
      </c>
      <c r="R9" s="46" t="str" cm="1">
        <f t="array" ref="R9">+IFERROR(_xlfn.CONCAT(_xlfn.UNIQUE(_xlfn._xlws.FILTER(R$19:R$1010,(($A$19:$A$1010=$A9)*(R$19:R$1010&lt;&gt;0)*(R$19:R$1010&lt;&gt;"F"))))),"")</f>
        <v/>
      </c>
      <c r="S9" s="47" t="str" cm="1">
        <f t="array" ref="S9">+IFERROR(_xlfn.CONCAT(_xlfn.UNIQUE(_xlfn._xlws.FILTER(S$19:S$1010,(($A$19:$A$1010=$A9)*(S$19:S$1010&lt;&gt;0)*(S$19:S$1010&lt;&gt;"F"))))),"")</f>
        <v/>
      </c>
      <c r="T9" s="45" t="str" cm="1">
        <f t="array" ref="T9">+IFERROR(_xlfn.CONCAT(_xlfn.UNIQUE(_xlfn._xlws.FILTER(T$19:T$1010,(($A$19:$A$1010=$A9)*(T$19:T$1010&lt;&gt;0)*(T$19:T$1010&lt;&gt;"F"))))),"")</f>
        <v/>
      </c>
      <c r="U9" s="46" t="str" cm="1">
        <f t="array" ref="U9">+IFERROR(_xlfn.CONCAT(_xlfn.UNIQUE(_xlfn._xlws.FILTER(U$19:U$1010,(($A$19:$A$1010=$A9)*(U$19:U$1010&lt;&gt;0)*(U$19:U$1010&lt;&gt;"F"))))),"")</f>
        <v/>
      </c>
      <c r="V9" s="46" t="str" cm="1">
        <f t="array" ref="V9">+IFERROR(_xlfn.CONCAT(_xlfn.UNIQUE(_xlfn._xlws.FILTER(V$19:V$1010,(($A$19:$A$1010=$A9)*(V$19:V$1010&lt;&gt;0)*(V$19:V$1010&lt;&gt;"F"))))),"")</f>
        <v/>
      </c>
      <c r="W9" s="46" t="str" cm="1">
        <f t="array" ref="W9">+IFERROR(_xlfn.CONCAT(_xlfn.UNIQUE(_xlfn._xlws.FILTER(W$19:W$1010,(($A$19:$A$1010=$A9)*(W$19:W$1010&lt;&gt;0)*(W$19:W$1010&lt;&gt;"F"))))),"")</f>
        <v/>
      </c>
      <c r="X9" s="47" t="str" cm="1">
        <f t="array" ref="X9">+IFERROR(_xlfn.CONCAT(_xlfn.UNIQUE(_xlfn._xlws.FILTER(X$19:X$1010,(($A$19:$A$1010=$A9)*(X$19:X$1010&lt;&gt;0)*(X$19:X$1010&lt;&gt;"F"))))),"")</f>
        <v/>
      </c>
      <c r="Y9" s="45" t="str" cm="1">
        <f t="array" ref="Y9">+IFERROR(_xlfn.CONCAT(_xlfn.UNIQUE(_xlfn._xlws.FILTER(Y$19:Y$1010,(($A$19:$A$1010=$A9)*(Y$19:Y$1010&lt;&gt;0)*(Y$19:Y$1010&lt;&gt;"F"))))),"")</f>
        <v/>
      </c>
      <c r="Z9" s="46" t="str" cm="1">
        <f t="array" ref="Z9">+IFERROR(_xlfn.CONCAT(_xlfn.UNIQUE(_xlfn._xlws.FILTER(Z$19:Z$1010,(($A$19:$A$1010=$A9)*(Z$19:Z$1010&lt;&gt;0)*(Z$19:Z$1010&lt;&gt;"F"))))),"")</f>
        <v/>
      </c>
      <c r="AA9" s="46" t="str" cm="1">
        <f t="array" ref="AA9">+IFERROR(_xlfn.CONCAT(_xlfn.UNIQUE(_xlfn._xlws.FILTER(AA$19:AA$1010,(($A$19:$A$1010=$A9)*(AA$19:AA$1010&lt;&gt;0)*(AA$19:AA$1010&lt;&gt;"F"))))),"")</f>
        <v/>
      </c>
      <c r="AB9" s="47" t="str" cm="1">
        <f t="array" ref="AB9">+IFERROR(_xlfn.CONCAT(_xlfn.UNIQUE(_xlfn._xlws.FILTER(AB$19:AB$1010,(($A$19:$A$1010=$A9)*(AB$19:AB$1010&lt;&gt;0)*(AB$19:AB$1010&lt;&gt;"F"))))),"")</f>
        <v/>
      </c>
      <c r="AC9" s="45" t="str" cm="1">
        <f t="array" ref="AC9">+IFERROR(_xlfn.CONCAT(_xlfn.UNIQUE(_xlfn._xlws.FILTER(AC$19:AC$1010,(($A$19:$A$1010=$A9)*(AC$19:AC$1010&lt;&gt;0)*(AC$19:AC$1010&lt;&gt;"F"))))),"")</f>
        <v/>
      </c>
      <c r="AD9" s="46" t="str" cm="1">
        <f t="array" ref="AD9">+IFERROR(_xlfn.CONCAT(_xlfn.UNIQUE(_xlfn._xlws.FILTER(AD$19:AD$1010,(($A$19:$A$1010=$A9)*(AD$19:AD$1010&lt;&gt;0)*(AD$19:AD$1010&lt;&gt;"F"))))),"")</f>
        <v/>
      </c>
      <c r="AE9" s="46" t="str" cm="1">
        <f t="array" ref="AE9">+IFERROR(_xlfn.CONCAT(_xlfn.UNIQUE(_xlfn._xlws.FILTER(AE$19:AE$1010,(($A$19:$A$1010=$A9)*(AE$19:AE$1010&lt;&gt;0)*(AE$19:AE$1010&lt;&gt;"F"))))),"")</f>
        <v>IN</v>
      </c>
      <c r="AF9" s="47" t="str" cm="1">
        <f t="array" ref="AF9">+IFERROR(_xlfn.CONCAT(_xlfn.UNIQUE(_xlfn._xlws.FILTER(AF$19:AF$1010,(($A$19:$A$1010=$A9)*(AF$19:AF$1010&lt;&gt;0)*(AF$19:AF$1010&lt;&gt;"F"))))),"")</f>
        <v>ES</v>
      </c>
      <c r="AG9" s="45" t="str" cm="1">
        <f t="array" ref="AG9">+IFERROR(_xlfn.CONCAT(_xlfn.UNIQUE(_xlfn._xlws.FILTER(AG$19:AG$1010,(($A$19:$A$1010=$A9)*(AG$19:AG$1010&lt;&gt;0)*(AG$19:AG$1010&lt;&gt;"F"))))),"")</f>
        <v>ES</v>
      </c>
      <c r="AH9" s="46" t="str" cm="1">
        <f t="array" ref="AH9">+IFERROR(_xlfn.CONCAT(_xlfn.UNIQUE(_xlfn._xlws.FILTER(AH$19:AH$1010,(($A$19:$A$1010=$A9)*(AH$19:AH$1010&lt;&gt;0)*(AH$19:AH$1010&lt;&gt;"F"))))),"")</f>
        <v>ES</v>
      </c>
      <c r="AI9" s="46" t="str" cm="1">
        <f t="array" ref="AI9">+IFERROR(_xlfn.CONCAT(_xlfn.UNIQUE(_xlfn._xlws.FILTER(AI$19:AI$1010,(($A$19:$A$1010=$A9)*(AI$19:AI$1010&lt;&gt;0)*(AI$19:AI$1010&lt;&gt;"F"))))),"")</f>
        <v>ES</v>
      </c>
      <c r="AJ9" s="46" t="str" cm="1">
        <f t="array" ref="AJ9">+IFERROR(_xlfn.CONCAT(_xlfn.UNIQUE(_xlfn._xlws.FILTER(AJ$19:AJ$1010,(($A$19:$A$1010=$A9)*(AJ$19:AJ$1010&lt;&gt;0)*(AJ$19:AJ$1010&lt;&gt;"F"))))),"")</f>
        <v>PL</v>
      </c>
      <c r="AK9" s="47" t="str" cm="1">
        <f t="array" ref="AK9">+IFERROR(_xlfn.CONCAT(_xlfn.UNIQUE(_xlfn._xlws.FILTER(AK$19:AK$1010,(($A$19:$A$1010=$A9)*(AK$19:AK$1010&lt;&gt;0)*(AK$19:AK$1010&lt;&gt;"F"))))),"")</f>
        <v>DE</v>
      </c>
      <c r="AL9" s="45" t="str" cm="1">
        <f t="array" ref="AL9">+IFERROR(_xlfn.CONCAT(_xlfn.UNIQUE(_xlfn._xlws.FILTER(AL$19:AL$1010,(($A$19:$A$1010=$A9)*(AL$19:AL$1010&lt;&gt;0)*(AL$19:AL$1010&lt;&gt;"F"))))),"")</f>
        <v>DE</v>
      </c>
      <c r="AM9" s="46" t="str" cm="1">
        <f t="array" ref="AM9">+IFERROR(_xlfn.CONCAT(_xlfn.UNIQUE(_xlfn._xlws.FILTER(AM$19:AM$1010,(($A$19:$A$1010=$A9)*(AM$19:AM$1010&lt;&gt;0)*(AM$19:AM$1010&lt;&gt;"F"))))),"")</f>
        <v>DE</v>
      </c>
      <c r="AN9" s="46" t="str" cm="1">
        <f t="array" ref="AN9">+IFERROR(_xlfn.CONCAT(_xlfn.UNIQUE(_xlfn._xlws.FILTER(AN$19:AN$1010,(($A$19:$A$1010=$A9)*(AN$19:AN$1010&lt;&gt;0)*(AN$19:AN$1010&lt;&gt;"F"))))),"")</f>
        <v>DE</v>
      </c>
      <c r="AO9" s="47" t="str" cm="1">
        <f t="array" ref="AO9">+IFERROR(_xlfn.CONCAT(_xlfn.UNIQUE(_xlfn._xlws.FILTER(AO$19:AO$1010,(($A$19:$A$1010=$A9)*(AO$19:AO$1010&lt;&gt;0)*(AO$19:AO$1010&lt;&gt;"F"))))),"")</f>
        <v>DE</v>
      </c>
      <c r="AP9" s="45" t="str" cm="1">
        <f t="array" ref="AP9">+IFERROR(_xlfn.CONCAT(_xlfn.UNIQUE(_xlfn._xlws.FILTER(AP$19:AP$1010,(($A$19:$A$1010=$A9)*(AP$19:AP$1010&lt;&gt;0)*(AP$19:AP$1010&lt;&gt;"F"))))),"")</f>
        <v>DE</v>
      </c>
      <c r="AQ9" s="46" t="str" cm="1">
        <f t="array" ref="AQ9">+IFERROR(_xlfn.CONCAT(_xlfn.UNIQUE(_xlfn._xlws.FILTER(AQ$19:AQ$1010,(($A$19:$A$1010=$A9)*(AQ$19:AQ$1010&lt;&gt;0)*(AQ$19:AQ$1010&lt;&gt;"F"))))),"")</f>
        <v>DE</v>
      </c>
      <c r="AR9" s="46" t="str" cm="1">
        <f t="array" ref="AR9">+IFERROR(_xlfn.CONCAT(_xlfn.UNIQUE(_xlfn._xlws.FILTER(AR$19:AR$1010,(($A$19:$A$1010=$A9)*(AR$19:AR$1010&lt;&gt;0)*(AR$19:AR$1010&lt;&gt;"F"))))),"")</f>
        <v>DE</v>
      </c>
      <c r="AS9" s="47" t="str" cm="1">
        <f t="array" ref="AS9">+IFERROR(_xlfn.CONCAT(_xlfn.UNIQUE(_xlfn._xlws.FILTER(AS$19:AS$1010,(($A$19:$A$1010=$A9)*(AS$19:AS$1010&lt;&gt;0)*(AS$19:AS$1010&lt;&gt;"F"))))),"")</f>
        <v>DE</v>
      </c>
      <c r="AT9" s="45" t="str" cm="1">
        <f t="array" ref="AT9">+IFERROR(_xlfn.CONCAT(_xlfn.UNIQUE(_xlfn._xlws.FILTER(AT$19:AT$1010,(($A$19:$A$1010=$A9)*(AT$19:AT$1010&lt;&gt;0)*(AT$19:AT$1010&lt;&gt;"F"))))),"")</f>
        <v>DE</v>
      </c>
      <c r="AU9" s="46" t="str" cm="1">
        <f t="array" ref="AU9">+IFERROR(_xlfn.CONCAT(_xlfn.UNIQUE(_xlfn._xlws.FILTER(AU$19:AU$1010,(($A$19:$A$1010=$A9)*(AU$19:AU$1010&lt;&gt;0)*(AU$19:AU$1010&lt;&gt;"F"))))),"")</f>
        <v>DE</v>
      </c>
      <c r="AV9" s="46" t="str" cm="1">
        <f t="array" ref="AV9">+IFERROR(_xlfn.CONCAT(_xlfn.UNIQUE(_xlfn._xlws.FILTER(AV$19:AV$1010,(($A$19:$A$1010=$A9)*(AV$19:AV$1010&lt;&gt;0)*(AV$19:AV$1010&lt;&gt;"F"))))),"")</f>
        <v>DE</v>
      </c>
      <c r="AW9" s="46" t="str" cm="1">
        <f t="array" ref="AW9">+IFERROR(_xlfn.CONCAT(_xlfn.UNIQUE(_xlfn._xlws.FILTER(AW$19:AW$1010,(($A$19:$A$1010=$A9)*(AW$19:AW$1010&lt;&gt;0)*(AW$19:AW$1010&lt;&gt;"F"))))),"")</f>
        <v>DE</v>
      </c>
      <c r="AX9" s="47" t="str" cm="1">
        <f t="array" ref="AX9">+IFERROR(_xlfn.CONCAT(_xlfn.UNIQUE(_xlfn._xlws.FILTER(AX$19:AX$1010,(($A$19:$A$1010=$A9)*(AX$19:AX$1010&lt;&gt;0)*(AX$19:AX$1010&lt;&gt;"F"))))),"")</f>
        <v>DE</v>
      </c>
      <c r="AY9" s="45" t="str" cm="1">
        <f t="array" ref="AY9">+IFERROR(_xlfn.CONCAT(_xlfn.UNIQUE(_xlfn._xlws.FILTER(AY$19:AY$1010,(($A$19:$A$1010=$A9)*(AY$19:AY$1010&lt;&gt;0)*(AY$19:AY$1010&lt;&gt;"F"))))),"")</f>
        <v>DE</v>
      </c>
      <c r="AZ9" s="46" t="str" cm="1">
        <f t="array" ref="AZ9">+IFERROR(_xlfn.CONCAT(_xlfn.UNIQUE(_xlfn._xlws.FILTER(AZ$19:AZ$1010,(($A$19:$A$1010=$A9)*(AZ$19:AZ$1010&lt;&gt;0)*(AZ$19:AZ$1010&lt;&gt;"F"))))),"")</f>
        <v>DE</v>
      </c>
      <c r="BA9" s="46" t="str" cm="1">
        <f t="array" ref="BA9">+IFERROR(_xlfn.CONCAT(_xlfn.UNIQUE(_xlfn._xlws.FILTER(BA$19:BA$1010,(($A$19:$A$1010=$A9)*(BA$19:BA$1010&lt;&gt;0)*(BA$19:BA$1010&lt;&gt;"F"))))),"")</f>
        <v>QA</v>
      </c>
      <c r="BB9" s="47" t="str" cm="1">
        <f t="array" ref="BB9">+IFERROR(_xlfn.CONCAT(_xlfn.UNIQUE(_xlfn._xlws.FILTER(BB$19:BB$1010,(($A$19:$A$1010=$A9)*(BB$19:BB$1010&lt;&gt;0)*(BB$19:BB$1010&lt;&gt;"F"))))),"")</f>
        <v>HO</v>
      </c>
      <c r="BC9" s="45" t="str" cm="1">
        <f t="array" ref="BC9">+IFERROR(_xlfn.CONCAT(_xlfn.UNIQUE(_xlfn._xlws.FILTER(BC$19:BC$1010,(($A$19:$A$1010=$A9)*(BC$19:BC$1010&lt;&gt;0)*(BC$19:BC$1010&lt;&gt;"F"))))),"")</f>
        <v>HO</v>
      </c>
      <c r="BD9" s="46" t="str" cm="1">
        <f t="array" ref="BD9">+IFERROR(_xlfn.CONCAT(_xlfn.UNIQUE(_xlfn._xlws.FILTER(BD$19:BD$1010,(($A$19:$A$1010=$A9)*(BD$19:BD$1010&lt;&gt;0)*(BD$19:BD$1010&lt;&gt;"F"))))),"")</f>
        <v>HO</v>
      </c>
      <c r="BE9" s="46" t="str" cm="1">
        <f t="array" ref="BE9">+IFERROR(_xlfn.CONCAT(_xlfn.UNIQUE(_xlfn._xlws.FILTER(BE$19:BE$1010,(($A$19:$A$1010=$A9)*(BE$19:BE$1010&lt;&gt;0)*(BE$19:BE$1010&lt;&gt;"F"))))),"")</f>
        <v>OA</v>
      </c>
      <c r="BF9" s="47" t="str" cm="1">
        <f t="array" ref="BF9">+IFERROR(_xlfn.CONCAT(_xlfn.UNIQUE(_xlfn._xlws.FILTER(BF$19:BF$1010,(($A$19:$A$1010=$A9)*(BF$19:BF$1010&lt;&gt;0)*(BF$19:BF$1010&lt;&gt;"F"))))),"")</f>
        <v>OA</v>
      </c>
      <c r="BG9" s="45" t="str" cm="1">
        <f t="array" ref="BG9">+IFERROR(_xlfn.CONCAT(_xlfn.UNIQUE(_xlfn._xlws.FILTER(BG$19:BG$1010,(($A$19:$A$1010=$A9)*(BG$19:BG$1010&lt;&gt;0)*(BG$19:BG$1010&lt;&gt;"F"))))),"")</f>
        <v>OA</v>
      </c>
      <c r="BH9" s="46" t="str" cm="1">
        <f t="array" ref="BH9">+IFERROR(_xlfn.CONCAT(_xlfn.UNIQUE(_xlfn._xlws.FILTER(BH$19:BH$1010,(($A$19:$A$1010=$A9)*(BH$19:BH$1010&lt;&gt;0)*(BH$19:BH$1010&lt;&gt;"F"))))),"")</f>
        <v>OA</v>
      </c>
      <c r="BI9" s="46" t="str" cm="1">
        <f t="array" ref="BI9">+IFERROR(_xlfn.CONCAT(_xlfn.UNIQUE(_xlfn._xlws.FILTER(BI$19:BI$1010,(($A$19:$A$1010=$A9)*(BI$19:BI$1010&lt;&gt;0)*(BI$19:BI$1010&lt;&gt;"F"))))),"")</f>
        <v>EN</v>
      </c>
      <c r="BJ9" s="46" t="str" cm="1">
        <f t="array" ref="BJ9">+IFERROR(_xlfn.CONCAT(_xlfn.UNIQUE(_xlfn._xlws.FILTER(BJ$19:BJ$1010,(($A$19:$A$1010=$A9)*(BJ$19:BJ$1010&lt;&gt;0)*(BJ$19:BJ$1010&lt;&gt;"F"))))),"")</f>
        <v/>
      </c>
      <c r="BK9" s="47" t="str" cm="1">
        <f t="array" ref="BK9">+IFERROR(_xlfn.CONCAT(_xlfn.UNIQUE(_xlfn._xlws.FILTER(BK$19:BK$1010,(($A$19:$A$1010=$A9)*(BK$19:BK$1010&lt;&gt;0)*(BK$19:BK$1010&lt;&gt;"F"))))),"")</f>
        <v/>
      </c>
      <c r="BL9" s="45" t="str" cm="1">
        <f t="array" ref="BL9">+IFERROR(_xlfn.CONCAT(_xlfn.UNIQUE(_xlfn._xlws.FILTER(BL$19:BL$1010,(($A$19:$A$1010=$A9)*(BL$19:BL$1010&lt;&gt;0)*(BL$19:BL$1010&lt;&gt;"F"))))),"")</f>
        <v/>
      </c>
      <c r="BM9" s="46" t="str" cm="1">
        <f t="array" ref="BM9">+IFERROR(_xlfn.CONCAT(_xlfn.UNIQUE(_xlfn._xlws.FILTER(BM$19:BM$1010,(($A$19:$A$1010=$A9)*(BM$19:BM$1010&lt;&gt;0)*(BM$19:BM$1010&lt;&gt;"F"))))),"")</f>
        <v/>
      </c>
      <c r="BN9" s="46" t="str" cm="1">
        <f t="array" ref="BN9">+IFERROR(_xlfn.CONCAT(_xlfn.UNIQUE(_xlfn._xlws.FILTER(BN$19:BN$1010,(($A$19:$A$1010=$A9)*(BN$19:BN$1010&lt;&gt;0)*(BN$19:BN$1010&lt;&gt;"F"))))),"")</f>
        <v/>
      </c>
      <c r="BO9" s="47" t="str" cm="1">
        <f t="array" ref="BO9">+IFERROR(_xlfn.CONCAT(_xlfn.UNIQUE(_xlfn._xlws.FILTER(BO$19:BO$1010,(($A$19:$A$1010=$A9)*(BO$19:BO$1010&lt;&gt;0)*(BO$19:BO$1010&lt;&gt;"F"))))),"")</f>
        <v/>
      </c>
      <c r="BP9" s="45" t="str" cm="1">
        <f t="array" ref="BP9">+IFERROR(_xlfn.CONCAT(_xlfn.UNIQUE(_xlfn._xlws.FILTER(BP$19:BP$1010,(($A$19:$A$1010=$A9)*(BP$19:BP$1010&lt;&gt;0)*(BP$19:BP$1010&lt;&gt;"F"))))),"")</f>
        <v/>
      </c>
      <c r="BQ9" s="46" t="str" cm="1">
        <f t="array" ref="BQ9">+IFERROR(_xlfn.CONCAT(_xlfn.UNIQUE(_xlfn._xlws.FILTER(BQ$19:BQ$1010,(($A$19:$A$1010=$A9)*(BQ$19:BQ$1010&lt;&gt;0)*(BQ$19:BQ$1010&lt;&gt;"F"))))),"")</f>
        <v/>
      </c>
      <c r="BR9" s="46" t="str" cm="1">
        <f t="array" ref="BR9">+IFERROR(_xlfn.CONCAT(_xlfn.UNIQUE(_xlfn._xlws.FILTER(BR$19:BR$1010,(($A$19:$A$1010=$A9)*(BR$19:BR$1010&lt;&gt;0)*(BR$19:BR$1010&lt;&gt;"F"))))),"")</f>
        <v/>
      </c>
      <c r="BS9" s="47" t="str" cm="1">
        <f t="array" ref="BS9">+IFERROR(_xlfn.CONCAT(_xlfn.UNIQUE(_xlfn._xlws.FILTER(BS$19:BS$1010,(($A$19:$A$1010=$A9)*(BS$19:BS$1010&lt;&gt;0)*(BS$19:BS$1010&lt;&gt;"F"))))),"")</f>
        <v/>
      </c>
    </row>
    <row r="10" spans="1:71" s="13" customFormat="1" ht="39.9" customHeight="1" x14ac:dyDescent="0.3">
      <c r="A10" s="57" t="str">
        <v>IMPLANTACAO DO SISTEMA DE TORRE DE MONITORAMENTO - FASE 2</v>
      </c>
      <c r="B10" s="27"/>
      <c r="C10" s="28">
        <v>6900000</v>
      </c>
      <c r="D10" s="29" t="str">
        <v>Implantação</v>
      </c>
      <c r="E10" s="29" t="str">
        <v>Implantação Sistema Terceiro</v>
      </c>
      <c r="F10" s="29" t="str">
        <v>Alta</v>
      </c>
      <c r="G10" s="45" t="str" cm="1">
        <f t="array" ref="G10">+IFERROR(_xlfn.CONCAT(_xlfn.UNIQUE(_xlfn._xlws.FILTER(G$19:G$1010,(($A$19:$A$1010=$A10)*(G$19:G$1010&lt;&gt;0)*(G$19:G$1010&lt;&gt;"F"))))),"")</f>
        <v/>
      </c>
      <c r="H10" s="46" t="str" cm="1">
        <f t="array" ref="H10">+IFERROR(_xlfn.CONCAT(_xlfn.UNIQUE(_xlfn._xlws.FILTER(H$19:H$1010,(($A$19:$A$1010=$A10)*(H$19:H$1010&lt;&gt;0)*(H$19:H$1010&lt;&gt;"F"))))),"")</f>
        <v/>
      </c>
      <c r="I10" s="46" t="str" cm="1">
        <f t="array" ref="I10">+IFERROR(_xlfn.CONCAT(_xlfn.UNIQUE(_xlfn._xlws.FILTER(I$19:I$1010,(($A$19:$A$1010=$A10)*(I$19:I$1010&lt;&gt;0)*(I$19:I$1010&lt;&gt;"F"))))),"")</f>
        <v/>
      </c>
      <c r="J10" s="46" t="str" cm="1">
        <f t="array" ref="J10">+IFERROR(_xlfn.CONCAT(_xlfn.UNIQUE(_xlfn._xlws.FILTER(J$19:J$1010,(($A$19:$A$1010=$A10)*(J$19:J$1010&lt;&gt;0)*(J$19:J$1010&lt;&gt;"F"))))),"")</f>
        <v/>
      </c>
      <c r="K10" s="47" t="str" cm="1">
        <f t="array" ref="K10">+IFERROR(_xlfn.CONCAT(_xlfn.UNIQUE(_xlfn._xlws.FILTER(K$19:K$1010,(($A$19:$A$1010=$A10)*(K$19:K$1010&lt;&gt;0)*(K$19:K$1010&lt;&gt;"F"))))),"")</f>
        <v/>
      </c>
      <c r="L10" s="45" t="str" cm="1">
        <f t="array" ref="L10">+IFERROR(_xlfn.CONCAT(_xlfn.UNIQUE(_xlfn._xlws.FILTER(L$19:L$1010,(($A$19:$A$1010=$A10)*(L$19:L$1010&lt;&gt;0)*(L$19:L$1010&lt;&gt;"F"))))),"")</f>
        <v/>
      </c>
      <c r="M10" s="46" t="str" cm="1">
        <f t="array" ref="M10">+IFERROR(_xlfn.CONCAT(_xlfn.UNIQUE(_xlfn._xlws.FILTER(M$19:M$1010,(($A$19:$A$1010=$A10)*(M$19:M$1010&lt;&gt;0)*(M$19:M$1010&lt;&gt;"F"))))),"")</f>
        <v/>
      </c>
      <c r="N10" s="46" t="str" cm="1">
        <f t="array" ref="N10">+IFERROR(_xlfn.CONCAT(_xlfn.UNIQUE(_xlfn._xlws.FILTER(N$19:N$1010,(($A$19:$A$1010=$A10)*(N$19:N$1010&lt;&gt;0)*(N$19:N$1010&lt;&gt;"F"))))),"")</f>
        <v/>
      </c>
      <c r="O10" s="47" t="str" cm="1">
        <f t="array" ref="O10">+IFERROR(_xlfn.CONCAT(_xlfn.UNIQUE(_xlfn._xlws.FILTER(O$19:O$1010,(($A$19:$A$1010=$A10)*(O$19:O$1010&lt;&gt;0)*(O$19:O$1010&lt;&gt;"F"))))),"")</f>
        <v/>
      </c>
      <c r="P10" s="45" t="str" cm="1">
        <f t="array" ref="P10">+IFERROR(_xlfn.CONCAT(_xlfn.UNIQUE(_xlfn._xlws.FILTER(P$19:P$1010,(($A$19:$A$1010=$A10)*(P$19:P$1010&lt;&gt;0)*(P$19:P$1010&lt;&gt;"F"))))),"")</f>
        <v/>
      </c>
      <c r="Q10" s="46" t="str" cm="1">
        <f t="array" ref="Q10">+IFERROR(_xlfn.CONCAT(_xlfn.UNIQUE(_xlfn._xlws.FILTER(Q$19:Q$1010,(($A$19:$A$1010=$A10)*(Q$19:Q$1010&lt;&gt;0)*(Q$19:Q$1010&lt;&gt;"F"))))),"")</f>
        <v/>
      </c>
      <c r="R10" s="46" t="str" cm="1">
        <f t="array" ref="R10">+IFERROR(_xlfn.CONCAT(_xlfn.UNIQUE(_xlfn._xlws.FILTER(R$19:R$1010,(($A$19:$A$1010=$A10)*(R$19:R$1010&lt;&gt;0)*(R$19:R$1010&lt;&gt;"F"))))),"")</f>
        <v/>
      </c>
      <c r="S10" s="47" t="str" cm="1">
        <f t="array" ref="S10">+IFERROR(_xlfn.CONCAT(_xlfn.UNIQUE(_xlfn._xlws.FILTER(S$19:S$1010,(($A$19:$A$1010=$A10)*(S$19:S$1010&lt;&gt;0)*(S$19:S$1010&lt;&gt;"F"))))),"")</f>
        <v/>
      </c>
      <c r="T10" s="45" t="str" cm="1">
        <f t="array" ref="T10">+IFERROR(_xlfn.CONCAT(_xlfn.UNIQUE(_xlfn._xlws.FILTER(T$19:T$1010,(($A$19:$A$1010=$A10)*(T$19:T$1010&lt;&gt;0)*(T$19:T$1010&lt;&gt;"F"))))),"")</f>
        <v/>
      </c>
      <c r="U10" s="46" t="str" cm="1">
        <f t="array" ref="U10">+IFERROR(_xlfn.CONCAT(_xlfn.UNIQUE(_xlfn._xlws.FILTER(U$19:U$1010,(($A$19:$A$1010=$A10)*(U$19:U$1010&lt;&gt;0)*(U$19:U$1010&lt;&gt;"F"))))),"")</f>
        <v/>
      </c>
      <c r="V10" s="46" t="str" cm="1">
        <f t="array" ref="V10">+IFERROR(_xlfn.CONCAT(_xlfn.UNIQUE(_xlfn._xlws.FILTER(V$19:V$1010,(($A$19:$A$1010=$A10)*(V$19:V$1010&lt;&gt;0)*(V$19:V$1010&lt;&gt;"F"))))),"")</f>
        <v/>
      </c>
      <c r="W10" s="46" t="str" cm="1">
        <f t="array" ref="W10">+IFERROR(_xlfn.CONCAT(_xlfn.UNIQUE(_xlfn._xlws.FILTER(W$19:W$1010,(($A$19:$A$1010=$A10)*(W$19:W$1010&lt;&gt;0)*(W$19:W$1010&lt;&gt;"F"))))),"")</f>
        <v/>
      </c>
      <c r="X10" s="47" t="str" cm="1">
        <f t="array" ref="X10">+IFERROR(_xlfn.CONCAT(_xlfn.UNIQUE(_xlfn._xlws.FILTER(X$19:X$1010,(($A$19:$A$1010=$A10)*(X$19:X$1010&lt;&gt;0)*(X$19:X$1010&lt;&gt;"F"))))),"")</f>
        <v/>
      </c>
      <c r="Y10" s="45" t="str" cm="1">
        <f t="array" ref="Y10">+IFERROR(_xlfn.CONCAT(_xlfn.UNIQUE(_xlfn._xlws.FILTER(Y$19:Y$1010,(($A$19:$A$1010=$A10)*(Y$19:Y$1010&lt;&gt;0)*(Y$19:Y$1010&lt;&gt;"F"))))),"")</f>
        <v/>
      </c>
      <c r="Z10" s="46" t="str" cm="1">
        <f t="array" ref="Z10">+IFERROR(_xlfn.CONCAT(_xlfn.UNIQUE(_xlfn._xlws.FILTER(Z$19:Z$1010,(($A$19:$A$1010=$A10)*(Z$19:Z$1010&lt;&gt;0)*(Z$19:Z$1010&lt;&gt;"F"))))),"")</f>
        <v/>
      </c>
      <c r="AA10" s="46" t="str" cm="1">
        <f t="array" ref="AA10">+IFERROR(_xlfn.CONCAT(_xlfn.UNIQUE(_xlfn._xlws.FILTER(AA$19:AA$1010,(($A$19:$A$1010=$A10)*(AA$19:AA$1010&lt;&gt;0)*(AA$19:AA$1010&lt;&gt;"F"))))),"")</f>
        <v/>
      </c>
      <c r="AB10" s="47" t="str" cm="1">
        <f t="array" ref="AB10">+IFERROR(_xlfn.CONCAT(_xlfn.UNIQUE(_xlfn._xlws.FILTER(AB$19:AB$1010,(($A$19:$A$1010=$A10)*(AB$19:AB$1010&lt;&gt;0)*(AB$19:AB$1010&lt;&gt;"F"))))),"")</f>
        <v/>
      </c>
      <c r="AC10" s="45" t="str" cm="1">
        <f t="array" ref="AC10">+IFERROR(_xlfn.CONCAT(_xlfn.UNIQUE(_xlfn._xlws.FILTER(AC$19:AC$1010,(($A$19:$A$1010=$A10)*(AC$19:AC$1010&lt;&gt;0)*(AC$19:AC$1010&lt;&gt;"F"))))),"")</f>
        <v/>
      </c>
      <c r="AD10" s="46" t="str" cm="1">
        <f t="array" ref="AD10">+IFERROR(_xlfn.CONCAT(_xlfn.UNIQUE(_xlfn._xlws.FILTER(AD$19:AD$1010,(($A$19:$A$1010=$A10)*(AD$19:AD$1010&lt;&gt;0)*(AD$19:AD$1010&lt;&gt;"F"))))),"")</f>
        <v/>
      </c>
      <c r="AE10" s="46" t="str" cm="1">
        <f t="array" ref="AE10">+IFERROR(_xlfn.CONCAT(_xlfn.UNIQUE(_xlfn._xlws.FILTER(AE$19:AE$1010,(($A$19:$A$1010=$A10)*(AE$19:AE$1010&lt;&gt;0)*(AE$19:AE$1010&lt;&gt;"F"))))),"")</f>
        <v/>
      </c>
      <c r="AF10" s="47" t="str" cm="1">
        <f t="array" ref="AF10">+IFERROR(_xlfn.CONCAT(_xlfn.UNIQUE(_xlfn._xlws.FILTER(AF$19:AF$1010,(($A$19:$A$1010=$A10)*(AF$19:AF$1010&lt;&gt;0)*(AF$19:AF$1010&lt;&gt;"F"))))),"")</f>
        <v/>
      </c>
      <c r="AG10" s="45" t="str" cm="1">
        <f t="array" ref="AG10">+IFERROR(_xlfn.CONCAT(_xlfn.UNIQUE(_xlfn._xlws.FILTER(AG$19:AG$1010,(($A$19:$A$1010=$A10)*(AG$19:AG$1010&lt;&gt;0)*(AG$19:AG$1010&lt;&gt;"F"))))),"")</f>
        <v/>
      </c>
      <c r="AH10" s="46" t="str" cm="1">
        <f t="array" ref="AH10">+IFERROR(_xlfn.CONCAT(_xlfn.UNIQUE(_xlfn._xlws.FILTER(AH$19:AH$1010,(($A$19:$A$1010=$A10)*(AH$19:AH$1010&lt;&gt;0)*(AH$19:AH$1010&lt;&gt;"F"))))),"")</f>
        <v/>
      </c>
      <c r="AI10" s="46" t="str" cm="1">
        <f t="array" ref="AI10">+IFERROR(_xlfn.CONCAT(_xlfn.UNIQUE(_xlfn._xlws.FILTER(AI$19:AI$1010,(($A$19:$A$1010=$A10)*(AI$19:AI$1010&lt;&gt;0)*(AI$19:AI$1010&lt;&gt;"F"))))),"")</f>
        <v/>
      </c>
      <c r="AJ10" s="46" t="str" cm="1">
        <f t="array" ref="AJ10">+IFERROR(_xlfn.CONCAT(_xlfn.UNIQUE(_xlfn._xlws.FILTER(AJ$19:AJ$1010,(($A$19:$A$1010=$A10)*(AJ$19:AJ$1010&lt;&gt;0)*(AJ$19:AJ$1010&lt;&gt;"F"))))),"")</f>
        <v/>
      </c>
      <c r="AK10" s="47" t="str" cm="1">
        <f t="array" ref="AK10">+IFERROR(_xlfn.CONCAT(_xlfn.UNIQUE(_xlfn._xlws.FILTER(AK$19:AK$1010,(($A$19:$A$1010=$A10)*(AK$19:AK$1010&lt;&gt;0)*(AK$19:AK$1010&lt;&gt;"F"))))),"")</f>
        <v/>
      </c>
      <c r="AL10" s="45" t="str" cm="1">
        <f t="array" ref="AL10">+IFERROR(_xlfn.CONCAT(_xlfn.UNIQUE(_xlfn._xlws.FILTER(AL$19:AL$1010,(($A$19:$A$1010=$A10)*(AL$19:AL$1010&lt;&gt;0)*(AL$19:AL$1010&lt;&gt;"F"))))),"")</f>
        <v/>
      </c>
      <c r="AM10" s="46" t="str" cm="1">
        <f t="array" ref="AM10">+IFERROR(_xlfn.CONCAT(_xlfn.UNIQUE(_xlfn._xlws.FILTER(AM$19:AM$1010,(($A$19:$A$1010=$A10)*(AM$19:AM$1010&lt;&gt;0)*(AM$19:AM$1010&lt;&gt;"F"))))),"")</f>
        <v/>
      </c>
      <c r="AN10" s="46" t="str" cm="1">
        <f t="array" ref="AN10">+IFERROR(_xlfn.CONCAT(_xlfn.UNIQUE(_xlfn._xlws.FILTER(AN$19:AN$1010,(($A$19:$A$1010=$A10)*(AN$19:AN$1010&lt;&gt;0)*(AN$19:AN$1010&lt;&gt;"F"))))),"")</f>
        <v/>
      </c>
      <c r="AO10" s="47" t="str" cm="1">
        <f t="array" ref="AO10">+IFERROR(_xlfn.CONCAT(_xlfn.UNIQUE(_xlfn._xlws.FILTER(AO$19:AO$1010,(($A$19:$A$1010=$A10)*(AO$19:AO$1010&lt;&gt;0)*(AO$19:AO$1010&lt;&gt;"F"))))),"")</f>
        <v/>
      </c>
      <c r="AP10" s="45" t="str" cm="1">
        <f t="array" ref="AP10">+IFERROR(_xlfn.CONCAT(_xlfn.UNIQUE(_xlfn._xlws.FILTER(AP$19:AP$1010,(($A$19:$A$1010=$A10)*(AP$19:AP$1010&lt;&gt;0)*(AP$19:AP$1010&lt;&gt;"F"))))),"")</f>
        <v/>
      </c>
      <c r="AQ10" s="46" t="str" cm="1">
        <f t="array" ref="AQ10">+IFERROR(_xlfn.CONCAT(_xlfn.UNIQUE(_xlfn._xlws.FILTER(AQ$19:AQ$1010,(($A$19:$A$1010=$A10)*(AQ$19:AQ$1010&lt;&gt;0)*(AQ$19:AQ$1010&lt;&gt;"F"))))),"")</f>
        <v/>
      </c>
      <c r="AR10" s="46" t="str" cm="1">
        <f t="array" ref="AR10">+IFERROR(_xlfn.CONCAT(_xlfn.UNIQUE(_xlfn._xlws.FILTER(AR$19:AR$1010,(($A$19:$A$1010=$A10)*(AR$19:AR$1010&lt;&gt;0)*(AR$19:AR$1010&lt;&gt;"F"))))),"")</f>
        <v/>
      </c>
      <c r="AS10" s="47" t="str" cm="1">
        <f t="array" ref="AS10">+IFERROR(_xlfn.CONCAT(_xlfn.UNIQUE(_xlfn._xlws.FILTER(AS$19:AS$1010,(($A$19:$A$1010=$A10)*(AS$19:AS$1010&lt;&gt;0)*(AS$19:AS$1010&lt;&gt;"F"))))),"")</f>
        <v/>
      </c>
      <c r="AT10" s="45" t="str" cm="1">
        <f t="array" ref="AT10">+IFERROR(_xlfn.CONCAT(_xlfn.UNIQUE(_xlfn._xlws.FILTER(AT$19:AT$1010,(($A$19:$A$1010=$A10)*(AT$19:AT$1010&lt;&gt;0)*(AT$19:AT$1010&lt;&gt;"F"))))),"")</f>
        <v/>
      </c>
      <c r="AU10" s="46" t="str" cm="1">
        <f t="array" ref="AU10">+IFERROR(_xlfn.CONCAT(_xlfn.UNIQUE(_xlfn._xlws.FILTER(AU$19:AU$1010,(($A$19:$A$1010=$A10)*(AU$19:AU$1010&lt;&gt;0)*(AU$19:AU$1010&lt;&gt;"F"))))),"")</f>
        <v/>
      </c>
      <c r="AV10" s="46" t="str" cm="1">
        <f t="array" ref="AV10">+IFERROR(_xlfn.CONCAT(_xlfn.UNIQUE(_xlfn._xlws.FILTER(AV$19:AV$1010,(($A$19:$A$1010=$A10)*(AV$19:AV$1010&lt;&gt;0)*(AV$19:AV$1010&lt;&gt;"F"))))),"")</f>
        <v/>
      </c>
      <c r="AW10" s="46" t="str" cm="1">
        <f t="array" ref="AW10">+IFERROR(_xlfn.CONCAT(_xlfn.UNIQUE(_xlfn._xlws.FILTER(AW$19:AW$1010,(($A$19:$A$1010=$A10)*(AW$19:AW$1010&lt;&gt;0)*(AW$19:AW$1010&lt;&gt;"F"))))),"")</f>
        <v/>
      </c>
      <c r="AX10" s="47" t="str" cm="1">
        <f t="array" ref="AX10">+IFERROR(_xlfn.CONCAT(_xlfn.UNIQUE(_xlfn._xlws.FILTER(AX$19:AX$1010,(($A$19:$A$1010=$A10)*(AX$19:AX$1010&lt;&gt;0)*(AX$19:AX$1010&lt;&gt;"F"))))),"")</f>
        <v/>
      </c>
      <c r="AY10" s="45" t="str" cm="1">
        <f t="array" ref="AY10">+IFERROR(_xlfn.CONCAT(_xlfn.UNIQUE(_xlfn._xlws.FILTER(AY$19:AY$1010,(($A$19:$A$1010=$A10)*(AY$19:AY$1010&lt;&gt;0)*(AY$19:AY$1010&lt;&gt;"F"))))),"")</f>
        <v/>
      </c>
      <c r="AZ10" s="46" t="str" cm="1">
        <f t="array" ref="AZ10">+IFERROR(_xlfn.CONCAT(_xlfn.UNIQUE(_xlfn._xlws.FILTER(AZ$19:AZ$1010,(($A$19:$A$1010=$A10)*(AZ$19:AZ$1010&lt;&gt;0)*(AZ$19:AZ$1010&lt;&gt;"F"))))),"")</f>
        <v/>
      </c>
      <c r="BA10" s="46" t="str" cm="1">
        <f t="array" ref="BA10">+IFERROR(_xlfn.CONCAT(_xlfn.UNIQUE(_xlfn._xlws.FILTER(BA$19:BA$1010,(($A$19:$A$1010=$A10)*(BA$19:BA$1010&lt;&gt;0)*(BA$19:BA$1010&lt;&gt;"F"))))),"")</f>
        <v/>
      </c>
      <c r="BB10" s="47" t="str" cm="1">
        <f t="array" ref="BB10">+IFERROR(_xlfn.CONCAT(_xlfn.UNIQUE(_xlfn._xlws.FILTER(BB$19:BB$1010,(($A$19:$A$1010=$A10)*(BB$19:BB$1010&lt;&gt;0)*(BB$19:BB$1010&lt;&gt;"F"))))),"")</f>
        <v/>
      </c>
      <c r="BC10" s="45" t="str" cm="1">
        <f t="array" ref="BC10">+IFERROR(_xlfn.CONCAT(_xlfn.UNIQUE(_xlfn._xlws.FILTER(BC$19:BC$1010,(($A$19:$A$1010=$A10)*(BC$19:BC$1010&lt;&gt;0)*(BC$19:BC$1010&lt;&gt;"F"))))),"")</f>
        <v/>
      </c>
      <c r="BD10" s="46" t="str" cm="1">
        <f t="array" ref="BD10">+IFERROR(_xlfn.CONCAT(_xlfn.UNIQUE(_xlfn._xlws.FILTER(BD$19:BD$1010,(($A$19:$A$1010=$A10)*(BD$19:BD$1010&lt;&gt;0)*(BD$19:BD$1010&lt;&gt;"F"))))),"")</f>
        <v/>
      </c>
      <c r="BE10" s="46" t="str" cm="1">
        <f t="array" ref="BE10">+IFERROR(_xlfn.CONCAT(_xlfn.UNIQUE(_xlfn._xlws.FILTER(BE$19:BE$1010,(($A$19:$A$1010=$A10)*(BE$19:BE$1010&lt;&gt;0)*(BE$19:BE$1010&lt;&gt;"F"))))),"")</f>
        <v/>
      </c>
      <c r="BF10" s="47" t="str" cm="1">
        <f t="array" ref="BF10">+IFERROR(_xlfn.CONCAT(_xlfn.UNIQUE(_xlfn._xlws.FILTER(BF$19:BF$1010,(($A$19:$A$1010=$A10)*(BF$19:BF$1010&lt;&gt;0)*(BF$19:BF$1010&lt;&gt;"F"))))),"")</f>
        <v/>
      </c>
      <c r="BG10" s="45" t="str" cm="1">
        <f t="array" ref="BG10">+IFERROR(_xlfn.CONCAT(_xlfn.UNIQUE(_xlfn._xlws.FILTER(BG$19:BG$1010,(($A$19:$A$1010=$A10)*(BG$19:BG$1010&lt;&gt;0)*(BG$19:BG$1010&lt;&gt;"F"))))),"")</f>
        <v/>
      </c>
      <c r="BH10" s="46" t="str" cm="1">
        <f t="array" ref="BH10">+IFERROR(_xlfn.CONCAT(_xlfn.UNIQUE(_xlfn._xlws.FILTER(BH$19:BH$1010,(($A$19:$A$1010=$A10)*(BH$19:BH$1010&lt;&gt;0)*(BH$19:BH$1010&lt;&gt;"F"))))),"")</f>
        <v/>
      </c>
      <c r="BI10" s="46" t="str" cm="1">
        <f t="array" ref="BI10">+IFERROR(_xlfn.CONCAT(_xlfn.UNIQUE(_xlfn._xlws.FILTER(BI$19:BI$1010,(($A$19:$A$1010=$A10)*(BI$19:BI$1010&lt;&gt;0)*(BI$19:BI$1010&lt;&gt;"F"))))),"")</f>
        <v/>
      </c>
      <c r="BJ10" s="46" t="str" cm="1">
        <f t="array" ref="BJ10">+IFERROR(_xlfn.CONCAT(_xlfn.UNIQUE(_xlfn._xlws.FILTER(BJ$19:BJ$1010,(($A$19:$A$1010=$A10)*(BJ$19:BJ$1010&lt;&gt;0)*(BJ$19:BJ$1010&lt;&gt;"F"))))),"")</f>
        <v/>
      </c>
      <c r="BK10" s="47" t="str" cm="1">
        <f t="array" ref="BK10">+IFERROR(_xlfn.CONCAT(_xlfn.UNIQUE(_xlfn._xlws.FILTER(BK$19:BK$1010,(($A$19:$A$1010=$A10)*(BK$19:BK$1010&lt;&gt;0)*(BK$19:BK$1010&lt;&gt;"F"))))),"")</f>
        <v/>
      </c>
      <c r="BL10" s="45" t="str" cm="1">
        <f t="array" ref="BL10">+IFERROR(_xlfn.CONCAT(_xlfn.UNIQUE(_xlfn._xlws.FILTER(BL$19:BL$1010,(($A$19:$A$1010=$A10)*(BL$19:BL$1010&lt;&gt;0)*(BL$19:BL$1010&lt;&gt;"F"))))),"")</f>
        <v/>
      </c>
      <c r="BM10" s="46" t="str" cm="1">
        <f t="array" ref="BM10">+IFERROR(_xlfn.CONCAT(_xlfn.UNIQUE(_xlfn._xlws.FILTER(BM$19:BM$1010,(($A$19:$A$1010=$A10)*(BM$19:BM$1010&lt;&gt;0)*(BM$19:BM$1010&lt;&gt;"F"))))),"")</f>
        <v/>
      </c>
      <c r="BN10" s="46" t="str" cm="1">
        <f t="array" ref="BN10">+IFERROR(_xlfn.CONCAT(_xlfn.UNIQUE(_xlfn._xlws.FILTER(BN$19:BN$1010,(($A$19:$A$1010=$A10)*(BN$19:BN$1010&lt;&gt;0)*(BN$19:BN$1010&lt;&gt;"F"))))),"")</f>
        <v/>
      </c>
      <c r="BO10" s="47" t="str" cm="1">
        <f t="array" ref="BO10">+IFERROR(_xlfn.CONCAT(_xlfn.UNIQUE(_xlfn._xlws.FILTER(BO$19:BO$1010,(($A$19:$A$1010=$A10)*(BO$19:BO$1010&lt;&gt;0)*(BO$19:BO$1010&lt;&gt;"F"))))),"")</f>
        <v/>
      </c>
      <c r="BP10" s="45" t="str" cm="1">
        <f t="array" ref="BP10">+IFERROR(_xlfn.CONCAT(_xlfn.UNIQUE(_xlfn._xlws.FILTER(BP$19:BP$1010,(($A$19:$A$1010=$A10)*(BP$19:BP$1010&lt;&gt;0)*(BP$19:BP$1010&lt;&gt;"F"))))),"")</f>
        <v/>
      </c>
      <c r="BQ10" s="46" t="str" cm="1">
        <f t="array" ref="BQ10">+IFERROR(_xlfn.CONCAT(_xlfn.UNIQUE(_xlfn._xlws.FILTER(BQ$19:BQ$1010,(($A$19:$A$1010=$A10)*(BQ$19:BQ$1010&lt;&gt;0)*(BQ$19:BQ$1010&lt;&gt;"F"))))),"")</f>
        <v/>
      </c>
      <c r="BR10" s="46" t="str" cm="1">
        <f t="array" ref="BR10">+IFERROR(_xlfn.CONCAT(_xlfn.UNIQUE(_xlfn._xlws.FILTER(BR$19:BR$1010,(($A$19:$A$1010=$A10)*(BR$19:BR$1010&lt;&gt;0)*(BR$19:BR$1010&lt;&gt;"F"))))),"")</f>
        <v/>
      </c>
      <c r="BS10" s="47" t="str" cm="1">
        <f t="array" ref="BS10">+IFERROR(_xlfn.CONCAT(_xlfn.UNIQUE(_xlfn._xlws.FILTER(BS$19:BS$1010,(($A$19:$A$1010=$A10)*(BS$19:BS$1010&lt;&gt;0)*(BS$19:BS$1010&lt;&gt;"F"))))),"")</f>
        <v/>
      </c>
    </row>
    <row r="11" spans="1:71" s="13" customFormat="1" ht="39.9" customHeight="1" x14ac:dyDescent="0.3">
      <c r="A11" s="57" t="str">
        <v>CENTRAL DE CADASTRO</v>
      </c>
      <c r="B11" s="27"/>
      <c r="C11" s="28">
        <v>0</v>
      </c>
      <c r="D11" s="29" t="str">
        <v>Melhoria de Processo</v>
      </c>
      <c r="E11" s="29" t="str">
        <v>Evolução, Melhoria ou Adequação</v>
      </c>
      <c r="F11" s="29" t="str">
        <v>Alta</v>
      </c>
      <c r="G11" s="45" t="str" cm="1">
        <f t="array" ref="G11">+IFERROR(_xlfn.CONCAT(_xlfn.UNIQUE(_xlfn._xlws.FILTER(G$19:G$1010,(($A$19:$A$1010=$A11)*(G$19:G$1010&lt;&gt;0)*(G$19:G$1010&lt;&gt;"F"))))),"")</f>
        <v/>
      </c>
      <c r="H11" s="46" t="str" cm="1">
        <f t="array" ref="H11">+IFERROR(_xlfn.CONCAT(_xlfn.UNIQUE(_xlfn._xlws.FILTER(H$19:H$1010,(($A$19:$A$1010=$A11)*(H$19:H$1010&lt;&gt;0)*(H$19:H$1010&lt;&gt;"F"))))),"")</f>
        <v/>
      </c>
      <c r="I11" s="46" t="str" cm="1">
        <f t="array" ref="I11">+IFERROR(_xlfn.CONCAT(_xlfn.UNIQUE(_xlfn._xlws.FILTER(I$19:I$1010,(($A$19:$A$1010=$A11)*(I$19:I$1010&lt;&gt;0)*(I$19:I$1010&lt;&gt;"F"))))),"")</f>
        <v/>
      </c>
      <c r="J11" s="46" t="str" cm="1">
        <f t="array" ref="J11">+IFERROR(_xlfn.CONCAT(_xlfn.UNIQUE(_xlfn._xlws.FILTER(J$19:J$1010,(($A$19:$A$1010=$A11)*(J$19:J$1010&lt;&gt;0)*(J$19:J$1010&lt;&gt;"F"))))),"")</f>
        <v/>
      </c>
      <c r="K11" s="47" t="str" cm="1">
        <f t="array" ref="K11">+IFERROR(_xlfn.CONCAT(_xlfn.UNIQUE(_xlfn._xlws.FILTER(K$19:K$1010,(($A$19:$A$1010=$A11)*(K$19:K$1010&lt;&gt;0)*(K$19:K$1010&lt;&gt;"F"))))),"")</f>
        <v/>
      </c>
      <c r="L11" s="45" t="str" cm="1">
        <f t="array" ref="L11">+IFERROR(_xlfn.CONCAT(_xlfn.UNIQUE(_xlfn._xlws.FILTER(L$19:L$1010,(($A$19:$A$1010=$A11)*(L$19:L$1010&lt;&gt;0)*(L$19:L$1010&lt;&gt;"F"))))),"")</f>
        <v/>
      </c>
      <c r="M11" s="46" t="str" cm="1">
        <f t="array" ref="M11">+IFERROR(_xlfn.CONCAT(_xlfn.UNIQUE(_xlfn._xlws.FILTER(M$19:M$1010,(($A$19:$A$1010=$A11)*(M$19:M$1010&lt;&gt;0)*(M$19:M$1010&lt;&gt;"F"))))),"")</f>
        <v/>
      </c>
      <c r="N11" s="46" t="str" cm="1">
        <f t="array" ref="N11">+IFERROR(_xlfn.CONCAT(_xlfn.UNIQUE(_xlfn._xlws.FILTER(N$19:N$1010,(($A$19:$A$1010=$A11)*(N$19:N$1010&lt;&gt;0)*(N$19:N$1010&lt;&gt;"F"))))),"")</f>
        <v/>
      </c>
      <c r="O11" s="47" t="str" cm="1">
        <f t="array" ref="O11">+IFERROR(_xlfn.CONCAT(_xlfn.UNIQUE(_xlfn._xlws.FILTER(O$19:O$1010,(($A$19:$A$1010=$A11)*(O$19:O$1010&lt;&gt;0)*(O$19:O$1010&lt;&gt;"F"))))),"")</f>
        <v/>
      </c>
      <c r="P11" s="45" t="str" cm="1">
        <f t="array" ref="P11">+IFERROR(_xlfn.CONCAT(_xlfn.UNIQUE(_xlfn._xlws.FILTER(P$19:P$1010,(($A$19:$A$1010=$A11)*(P$19:P$1010&lt;&gt;0)*(P$19:P$1010&lt;&gt;"F"))))),"")</f>
        <v/>
      </c>
      <c r="Q11" s="46" t="str" cm="1">
        <f t="array" ref="Q11">+IFERROR(_xlfn.CONCAT(_xlfn.UNIQUE(_xlfn._xlws.FILTER(Q$19:Q$1010,(($A$19:$A$1010=$A11)*(Q$19:Q$1010&lt;&gt;0)*(Q$19:Q$1010&lt;&gt;"F"))))),"")</f>
        <v/>
      </c>
      <c r="R11" s="46" t="str" cm="1">
        <f t="array" ref="R11">+IFERROR(_xlfn.CONCAT(_xlfn.UNIQUE(_xlfn._xlws.FILTER(R$19:R$1010,(($A$19:$A$1010=$A11)*(R$19:R$1010&lt;&gt;0)*(R$19:R$1010&lt;&gt;"F"))))),"")</f>
        <v/>
      </c>
      <c r="S11" s="47" t="str" cm="1">
        <f t="array" ref="S11">+IFERROR(_xlfn.CONCAT(_xlfn.UNIQUE(_xlfn._xlws.FILTER(S$19:S$1010,(($A$19:$A$1010=$A11)*(S$19:S$1010&lt;&gt;0)*(S$19:S$1010&lt;&gt;"F"))))),"")</f>
        <v/>
      </c>
      <c r="T11" s="45" t="str" cm="1">
        <f t="array" ref="T11">+IFERROR(_xlfn.CONCAT(_xlfn.UNIQUE(_xlfn._xlws.FILTER(T$19:T$1010,(($A$19:$A$1010=$A11)*(T$19:T$1010&lt;&gt;0)*(T$19:T$1010&lt;&gt;"F"))))),"")</f>
        <v/>
      </c>
      <c r="U11" s="46" t="str" cm="1">
        <f t="array" ref="U11">+IFERROR(_xlfn.CONCAT(_xlfn.UNIQUE(_xlfn._xlws.FILTER(U$19:U$1010,(($A$19:$A$1010=$A11)*(U$19:U$1010&lt;&gt;0)*(U$19:U$1010&lt;&gt;"F"))))),"")</f>
        <v/>
      </c>
      <c r="V11" s="46" t="str" cm="1">
        <f t="array" ref="V11">+IFERROR(_xlfn.CONCAT(_xlfn.UNIQUE(_xlfn._xlws.FILTER(V$19:V$1010,(($A$19:$A$1010=$A11)*(V$19:V$1010&lt;&gt;0)*(V$19:V$1010&lt;&gt;"F"))))),"")</f>
        <v/>
      </c>
      <c r="W11" s="46" t="str" cm="1">
        <f t="array" ref="W11">+IFERROR(_xlfn.CONCAT(_xlfn.UNIQUE(_xlfn._xlws.FILTER(W$19:W$1010,(($A$19:$A$1010=$A11)*(W$19:W$1010&lt;&gt;0)*(W$19:W$1010&lt;&gt;"F"))))),"")</f>
        <v/>
      </c>
      <c r="X11" s="47" t="str" cm="1">
        <f t="array" ref="X11">+IFERROR(_xlfn.CONCAT(_xlfn.UNIQUE(_xlfn._xlws.FILTER(X$19:X$1010,(($A$19:$A$1010=$A11)*(X$19:X$1010&lt;&gt;0)*(X$19:X$1010&lt;&gt;"F"))))),"")</f>
        <v/>
      </c>
      <c r="Y11" s="45" t="str" cm="1">
        <f t="array" ref="Y11">+IFERROR(_xlfn.CONCAT(_xlfn.UNIQUE(_xlfn._xlws.FILTER(Y$19:Y$1010,(($A$19:$A$1010=$A11)*(Y$19:Y$1010&lt;&gt;0)*(Y$19:Y$1010&lt;&gt;"F"))))),"")</f>
        <v/>
      </c>
      <c r="Z11" s="46" t="str" cm="1">
        <f t="array" ref="Z11">+IFERROR(_xlfn.CONCAT(_xlfn.UNIQUE(_xlfn._xlws.FILTER(Z$19:Z$1010,(($A$19:$A$1010=$A11)*(Z$19:Z$1010&lt;&gt;0)*(Z$19:Z$1010&lt;&gt;"F"))))),"")</f>
        <v/>
      </c>
      <c r="AA11" s="46" t="str" cm="1">
        <f t="array" ref="AA11">+IFERROR(_xlfn.CONCAT(_xlfn.UNIQUE(_xlfn._xlws.FILTER(AA$19:AA$1010,(($A$19:$A$1010=$A11)*(AA$19:AA$1010&lt;&gt;0)*(AA$19:AA$1010&lt;&gt;"F"))))),"")</f>
        <v/>
      </c>
      <c r="AB11" s="47" t="str" cm="1">
        <f t="array" ref="AB11">+IFERROR(_xlfn.CONCAT(_xlfn.UNIQUE(_xlfn._xlws.FILTER(AB$19:AB$1010,(($A$19:$A$1010=$A11)*(AB$19:AB$1010&lt;&gt;0)*(AB$19:AB$1010&lt;&gt;"F"))))),"")</f>
        <v/>
      </c>
      <c r="AC11" s="45" t="str" cm="1">
        <f t="array" ref="AC11">+IFERROR(_xlfn.CONCAT(_xlfn.UNIQUE(_xlfn._xlws.FILTER(AC$19:AC$1010,(($A$19:$A$1010=$A11)*(AC$19:AC$1010&lt;&gt;0)*(AC$19:AC$1010&lt;&gt;"F"))))),"")</f>
        <v/>
      </c>
      <c r="AD11" s="46" t="str" cm="1">
        <f t="array" ref="AD11">+IFERROR(_xlfn.CONCAT(_xlfn.UNIQUE(_xlfn._xlws.FILTER(AD$19:AD$1010,(($A$19:$A$1010=$A11)*(AD$19:AD$1010&lt;&gt;0)*(AD$19:AD$1010&lt;&gt;"F"))))),"")</f>
        <v/>
      </c>
      <c r="AE11" s="46" t="str" cm="1">
        <f t="array" ref="AE11">+IFERROR(_xlfn.CONCAT(_xlfn.UNIQUE(_xlfn._xlws.FILTER(AE$19:AE$1010,(($A$19:$A$1010=$A11)*(AE$19:AE$1010&lt;&gt;0)*(AE$19:AE$1010&lt;&gt;"F"))))),"")</f>
        <v/>
      </c>
      <c r="AF11" s="47" t="str" cm="1">
        <f t="array" ref="AF11">+IFERROR(_xlfn.CONCAT(_xlfn.UNIQUE(_xlfn._xlws.FILTER(AF$19:AF$1010,(($A$19:$A$1010=$A11)*(AF$19:AF$1010&lt;&gt;0)*(AF$19:AF$1010&lt;&gt;"F"))))),"")</f>
        <v/>
      </c>
      <c r="AG11" s="45" t="str" cm="1">
        <f t="array" ref="AG11">+IFERROR(_xlfn.CONCAT(_xlfn.UNIQUE(_xlfn._xlws.FILTER(AG$19:AG$1010,(($A$19:$A$1010=$A11)*(AG$19:AG$1010&lt;&gt;0)*(AG$19:AG$1010&lt;&gt;"F"))))),"")</f>
        <v/>
      </c>
      <c r="AH11" s="46" t="str" cm="1">
        <f t="array" ref="AH11">+IFERROR(_xlfn.CONCAT(_xlfn.UNIQUE(_xlfn._xlws.FILTER(AH$19:AH$1010,(($A$19:$A$1010=$A11)*(AH$19:AH$1010&lt;&gt;0)*(AH$19:AH$1010&lt;&gt;"F"))))),"")</f>
        <v/>
      </c>
      <c r="AI11" s="46" t="str" cm="1">
        <f t="array" ref="AI11">+IFERROR(_xlfn.CONCAT(_xlfn.UNIQUE(_xlfn._xlws.FILTER(AI$19:AI$1010,(($A$19:$A$1010=$A11)*(AI$19:AI$1010&lt;&gt;0)*(AI$19:AI$1010&lt;&gt;"F"))))),"")</f>
        <v/>
      </c>
      <c r="AJ11" s="46" t="str" cm="1">
        <f t="array" ref="AJ11">+IFERROR(_xlfn.CONCAT(_xlfn.UNIQUE(_xlfn._xlws.FILTER(AJ$19:AJ$1010,(($A$19:$A$1010=$A11)*(AJ$19:AJ$1010&lt;&gt;0)*(AJ$19:AJ$1010&lt;&gt;"F"))))),"")</f>
        <v/>
      </c>
      <c r="AK11" s="47" t="str" cm="1">
        <f t="array" ref="AK11">+IFERROR(_xlfn.CONCAT(_xlfn.UNIQUE(_xlfn._xlws.FILTER(AK$19:AK$1010,(($A$19:$A$1010=$A11)*(AK$19:AK$1010&lt;&gt;0)*(AK$19:AK$1010&lt;&gt;"F"))))),"")</f>
        <v/>
      </c>
      <c r="AL11" s="45" t="str" cm="1">
        <f t="array" ref="AL11">+IFERROR(_xlfn.CONCAT(_xlfn.UNIQUE(_xlfn._xlws.FILTER(AL$19:AL$1010,(($A$19:$A$1010=$A11)*(AL$19:AL$1010&lt;&gt;0)*(AL$19:AL$1010&lt;&gt;"F"))))),"")</f>
        <v/>
      </c>
      <c r="AM11" s="46" t="str" cm="1">
        <f t="array" ref="AM11">+IFERROR(_xlfn.CONCAT(_xlfn.UNIQUE(_xlfn._xlws.FILTER(AM$19:AM$1010,(($A$19:$A$1010=$A11)*(AM$19:AM$1010&lt;&gt;0)*(AM$19:AM$1010&lt;&gt;"F"))))),"")</f>
        <v/>
      </c>
      <c r="AN11" s="46" t="str" cm="1">
        <f t="array" ref="AN11">+IFERROR(_xlfn.CONCAT(_xlfn.UNIQUE(_xlfn._xlws.FILTER(AN$19:AN$1010,(($A$19:$A$1010=$A11)*(AN$19:AN$1010&lt;&gt;0)*(AN$19:AN$1010&lt;&gt;"F"))))),"")</f>
        <v/>
      </c>
      <c r="AO11" s="47" t="str" cm="1">
        <f t="array" ref="AO11">+IFERROR(_xlfn.CONCAT(_xlfn.UNIQUE(_xlfn._xlws.FILTER(AO$19:AO$1010,(($A$19:$A$1010=$A11)*(AO$19:AO$1010&lt;&gt;0)*(AO$19:AO$1010&lt;&gt;"F"))))),"")</f>
        <v/>
      </c>
      <c r="AP11" s="45" t="str" cm="1">
        <f t="array" ref="AP11">+IFERROR(_xlfn.CONCAT(_xlfn.UNIQUE(_xlfn._xlws.FILTER(AP$19:AP$1010,(($A$19:$A$1010=$A11)*(AP$19:AP$1010&lt;&gt;0)*(AP$19:AP$1010&lt;&gt;"F"))))),"")</f>
        <v/>
      </c>
      <c r="AQ11" s="46" t="str" cm="1">
        <f t="array" ref="AQ11">+IFERROR(_xlfn.CONCAT(_xlfn.UNIQUE(_xlfn._xlws.FILTER(AQ$19:AQ$1010,(($A$19:$A$1010=$A11)*(AQ$19:AQ$1010&lt;&gt;0)*(AQ$19:AQ$1010&lt;&gt;"F"))))),"")</f>
        <v/>
      </c>
      <c r="AR11" s="46" t="str" cm="1">
        <f t="array" ref="AR11">+IFERROR(_xlfn.CONCAT(_xlfn.UNIQUE(_xlfn._xlws.FILTER(AR$19:AR$1010,(($A$19:$A$1010=$A11)*(AR$19:AR$1010&lt;&gt;0)*(AR$19:AR$1010&lt;&gt;"F"))))),"")</f>
        <v/>
      </c>
      <c r="AS11" s="47" t="str" cm="1">
        <f t="array" ref="AS11">+IFERROR(_xlfn.CONCAT(_xlfn.UNIQUE(_xlfn._xlws.FILTER(AS$19:AS$1010,(($A$19:$A$1010=$A11)*(AS$19:AS$1010&lt;&gt;0)*(AS$19:AS$1010&lt;&gt;"F"))))),"")</f>
        <v/>
      </c>
      <c r="AT11" s="45" t="str" cm="1">
        <f t="array" ref="AT11">+IFERROR(_xlfn.CONCAT(_xlfn.UNIQUE(_xlfn._xlws.FILTER(AT$19:AT$1010,(($A$19:$A$1010=$A11)*(AT$19:AT$1010&lt;&gt;0)*(AT$19:AT$1010&lt;&gt;"F"))))),"")</f>
        <v/>
      </c>
      <c r="AU11" s="46" t="str" cm="1">
        <f t="array" ref="AU11">+IFERROR(_xlfn.CONCAT(_xlfn.UNIQUE(_xlfn._xlws.FILTER(AU$19:AU$1010,(($A$19:$A$1010=$A11)*(AU$19:AU$1010&lt;&gt;0)*(AU$19:AU$1010&lt;&gt;"F"))))),"")</f>
        <v/>
      </c>
      <c r="AV11" s="46" t="str" cm="1">
        <f t="array" ref="AV11">+IFERROR(_xlfn.CONCAT(_xlfn.UNIQUE(_xlfn._xlws.FILTER(AV$19:AV$1010,(($A$19:$A$1010=$A11)*(AV$19:AV$1010&lt;&gt;0)*(AV$19:AV$1010&lt;&gt;"F"))))),"")</f>
        <v/>
      </c>
      <c r="AW11" s="46" t="str" cm="1">
        <f t="array" ref="AW11">+IFERROR(_xlfn.CONCAT(_xlfn.UNIQUE(_xlfn._xlws.FILTER(AW$19:AW$1010,(($A$19:$A$1010=$A11)*(AW$19:AW$1010&lt;&gt;0)*(AW$19:AW$1010&lt;&gt;"F"))))),"")</f>
        <v/>
      </c>
      <c r="AX11" s="47" t="str" cm="1">
        <f t="array" ref="AX11">+IFERROR(_xlfn.CONCAT(_xlfn.UNIQUE(_xlfn._xlws.FILTER(AX$19:AX$1010,(($A$19:$A$1010=$A11)*(AX$19:AX$1010&lt;&gt;0)*(AX$19:AX$1010&lt;&gt;"F"))))),"")</f>
        <v/>
      </c>
      <c r="AY11" s="45" t="str" cm="1">
        <f t="array" ref="AY11">+IFERROR(_xlfn.CONCAT(_xlfn.UNIQUE(_xlfn._xlws.FILTER(AY$19:AY$1010,(($A$19:$A$1010=$A11)*(AY$19:AY$1010&lt;&gt;0)*(AY$19:AY$1010&lt;&gt;"F"))))),"")</f>
        <v/>
      </c>
      <c r="AZ11" s="46" t="str" cm="1">
        <f t="array" ref="AZ11">+IFERROR(_xlfn.CONCAT(_xlfn.UNIQUE(_xlfn._xlws.FILTER(AZ$19:AZ$1010,(($A$19:$A$1010=$A11)*(AZ$19:AZ$1010&lt;&gt;0)*(AZ$19:AZ$1010&lt;&gt;"F"))))),"")</f>
        <v/>
      </c>
      <c r="BA11" s="46" t="str" cm="1">
        <f t="array" ref="BA11">+IFERROR(_xlfn.CONCAT(_xlfn.UNIQUE(_xlfn._xlws.FILTER(BA$19:BA$1010,(($A$19:$A$1010=$A11)*(BA$19:BA$1010&lt;&gt;0)*(BA$19:BA$1010&lt;&gt;"F"))))),"")</f>
        <v/>
      </c>
      <c r="BB11" s="47" t="str" cm="1">
        <f t="array" ref="BB11">+IFERROR(_xlfn.CONCAT(_xlfn.UNIQUE(_xlfn._xlws.FILTER(BB$19:BB$1010,(($A$19:$A$1010=$A11)*(BB$19:BB$1010&lt;&gt;0)*(BB$19:BB$1010&lt;&gt;"F"))))),"")</f>
        <v/>
      </c>
      <c r="BC11" s="45" t="str" cm="1">
        <f t="array" ref="BC11">+IFERROR(_xlfn.CONCAT(_xlfn.UNIQUE(_xlfn._xlws.FILTER(BC$19:BC$1010,(($A$19:$A$1010=$A11)*(BC$19:BC$1010&lt;&gt;0)*(BC$19:BC$1010&lt;&gt;"F"))))),"")</f>
        <v/>
      </c>
      <c r="BD11" s="46" t="str" cm="1">
        <f t="array" ref="BD11">+IFERROR(_xlfn.CONCAT(_xlfn.UNIQUE(_xlfn._xlws.FILTER(BD$19:BD$1010,(($A$19:$A$1010=$A11)*(BD$19:BD$1010&lt;&gt;0)*(BD$19:BD$1010&lt;&gt;"F"))))),"")</f>
        <v/>
      </c>
      <c r="BE11" s="46" t="str" cm="1">
        <f t="array" ref="BE11">+IFERROR(_xlfn.CONCAT(_xlfn.UNIQUE(_xlfn._xlws.FILTER(BE$19:BE$1010,(($A$19:$A$1010=$A11)*(BE$19:BE$1010&lt;&gt;0)*(BE$19:BE$1010&lt;&gt;"F"))))),"")</f>
        <v/>
      </c>
      <c r="BF11" s="47" t="str" cm="1">
        <f t="array" ref="BF11">+IFERROR(_xlfn.CONCAT(_xlfn.UNIQUE(_xlfn._xlws.FILTER(BF$19:BF$1010,(($A$19:$A$1010=$A11)*(BF$19:BF$1010&lt;&gt;0)*(BF$19:BF$1010&lt;&gt;"F"))))),"")</f>
        <v/>
      </c>
      <c r="BG11" s="45" t="str" cm="1">
        <f t="array" ref="BG11">+IFERROR(_xlfn.CONCAT(_xlfn.UNIQUE(_xlfn._xlws.FILTER(BG$19:BG$1010,(($A$19:$A$1010=$A11)*(BG$19:BG$1010&lt;&gt;0)*(BG$19:BG$1010&lt;&gt;"F"))))),"")</f>
        <v/>
      </c>
      <c r="BH11" s="46" t="str" cm="1">
        <f t="array" ref="BH11">+IFERROR(_xlfn.CONCAT(_xlfn.UNIQUE(_xlfn._xlws.FILTER(BH$19:BH$1010,(($A$19:$A$1010=$A11)*(BH$19:BH$1010&lt;&gt;0)*(BH$19:BH$1010&lt;&gt;"F"))))),"")</f>
        <v/>
      </c>
      <c r="BI11" s="46" t="str" cm="1">
        <f t="array" ref="BI11">+IFERROR(_xlfn.CONCAT(_xlfn.UNIQUE(_xlfn._xlws.FILTER(BI$19:BI$1010,(($A$19:$A$1010=$A11)*(BI$19:BI$1010&lt;&gt;0)*(BI$19:BI$1010&lt;&gt;"F"))))),"")</f>
        <v/>
      </c>
      <c r="BJ11" s="46" t="str" cm="1">
        <f t="array" ref="BJ11">+IFERROR(_xlfn.CONCAT(_xlfn.UNIQUE(_xlfn._xlws.FILTER(BJ$19:BJ$1010,(($A$19:$A$1010=$A11)*(BJ$19:BJ$1010&lt;&gt;0)*(BJ$19:BJ$1010&lt;&gt;"F"))))),"")</f>
        <v/>
      </c>
      <c r="BK11" s="47" t="str" cm="1">
        <f t="array" ref="BK11">+IFERROR(_xlfn.CONCAT(_xlfn.UNIQUE(_xlfn._xlws.FILTER(BK$19:BK$1010,(($A$19:$A$1010=$A11)*(BK$19:BK$1010&lt;&gt;0)*(BK$19:BK$1010&lt;&gt;"F"))))),"")</f>
        <v/>
      </c>
      <c r="BL11" s="45" t="str" cm="1">
        <f t="array" ref="BL11">+IFERROR(_xlfn.CONCAT(_xlfn.UNIQUE(_xlfn._xlws.FILTER(BL$19:BL$1010,(($A$19:$A$1010=$A11)*(BL$19:BL$1010&lt;&gt;0)*(BL$19:BL$1010&lt;&gt;"F"))))),"")</f>
        <v/>
      </c>
      <c r="BM11" s="46" t="str" cm="1">
        <f t="array" ref="BM11">+IFERROR(_xlfn.CONCAT(_xlfn.UNIQUE(_xlfn._xlws.FILTER(BM$19:BM$1010,(($A$19:$A$1010=$A11)*(BM$19:BM$1010&lt;&gt;0)*(BM$19:BM$1010&lt;&gt;"F"))))),"")</f>
        <v/>
      </c>
      <c r="BN11" s="46" t="str" cm="1">
        <f t="array" ref="BN11">+IFERROR(_xlfn.CONCAT(_xlfn.UNIQUE(_xlfn._xlws.FILTER(BN$19:BN$1010,(($A$19:$A$1010=$A11)*(BN$19:BN$1010&lt;&gt;0)*(BN$19:BN$1010&lt;&gt;"F"))))),"")</f>
        <v/>
      </c>
      <c r="BO11" s="47" t="str" cm="1">
        <f t="array" ref="BO11">+IFERROR(_xlfn.CONCAT(_xlfn.UNIQUE(_xlfn._xlws.FILTER(BO$19:BO$1010,(($A$19:$A$1010=$A11)*(BO$19:BO$1010&lt;&gt;0)*(BO$19:BO$1010&lt;&gt;"F"))))),"")</f>
        <v/>
      </c>
      <c r="BP11" s="45" t="str" cm="1">
        <f t="array" ref="BP11">+IFERROR(_xlfn.CONCAT(_xlfn.UNIQUE(_xlfn._xlws.FILTER(BP$19:BP$1010,(($A$19:$A$1010=$A11)*(BP$19:BP$1010&lt;&gt;0)*(BP$19:BP$1010&lt;&gt;"F"))))),"")</f>
        <v/>
      </c>
      <c r="BQ11" s="46" t="str" cm="1">
        <f t="array" ref="BQ11">+IFERROR(_xlfn.CONCAT(_xlfn.UNIQUE(_xlfn._xlws.FILTER(BQ$19:BQ$1010,(($A$19:$A$1010=$A11)*(BQ$19:BQ$1010&lt;&gt;0)*(BQ$19:BQ$1010&lt;&gt;"F"))))),"")</f>
        <v/>
      </c>
      <c r="BR11" s="46" t="str" cm="1">
        <f t="array" ref="BR11">+IFERROR(_xlfn.CONCAT(_xlfn.UNIQUE(_xlfn._xlws.FILTER(BR$19:BR$1010,(($A$19:$A$1010=$A11)*(BR$19:BR$1010&lt;&gt;0)*(BR$19:BR$1010&lt;&gt;"F"))))),"")</f>
        <v/>
      </c>
      <c r="BS11" s="47" t="str" cm="1">
        <f t="array" ref="BS11">+IFERROR(_xlfn.CONCAT(_xlfn.UNIQUE(_xlfn._xlws.FILTER(BS$19:BS$1010,(($A$19:$A$1010=$A11)*(BS$19:BS$1010&lt;&gt;0)*(BS$19:BS$1010&lt;&gt;"F"))))),"")</f>
        <v/>
      </c>
    </row>
    <row r="12" spans="1:71" s="13" customFormat="1" ht="39.9" customHeight="1" x14ac:dyDescent="0.3">
      <c r="A12" s="58" t="str">
        <v>RAVEX - CANHOTO DIGITAL</v>
      </c>
      <c r="B12" s="30"/>
      <c r="C12" s="31">
        <v>0</v>
      </c>
      <c r="D12" s="32" t="str">
        <v>Melhoria de Processo</v>
      </c>
      <c r="E12" s="32" t="str">
        <v>Evolução, Melhoria ou Adequação</v>
      </c>
      <c r="F12" s="32" t="str">
        <v>Alta</v>
      </c>
      <c r="G12" s="48" t="str" cm="1">
        <f t="array" ref="G12">+IFERROR(_xlfn.CONCAT(_xlfn.UNIQUE(_xlfn._xlws.FILTER(G$19:G$1010,(($A$19:$A$1010=$A12)*(G$19:G$1010&lt;&gt;0)*(G$19:G$1010&lt;&gt;"F"))))),"")</f>
        <v/>
      </c>
      <c r="H12" s="49" t="str" cm="1">
        <f t="array" ref="H12">+IFERROR(_xlfn.CONCAT(_xlfn.UNIQUE(_xlfn._xlws.FILTER(H$19:H$1010,(($A$19:$A$1010=$A12)*(H$19:H$1010&lt;&gt;0)*(H$19:H$1010&lt;&gt;"F"))))),"")</f>
        <v/>
      </c>
      <c r="I12" s="49" t="str" cm="1">
        <f t="array" ref="I12">+IFERROR(_xlfn.CONCAT(_xlfn.UNIQUE(_xlfn._xlws.FILTER(I$19:I$1010,(($A$19:$A$1010=$A12)*(I$19:I$1010&lt;&gt;0)*(I$19:I$1010&lt;&gt;"F"))))),"")</f>
        <v/>
      </c>
      <c r="J12" s="49" t="str" cm="1">
        <f t="array" ref="J12">+IFERROR(_xlfn.CONCAT(_xlfn.UNIQUE(_xlfn._xlws.FILTER(J$19:J$1010,(($A$19:$A$1010=$A12)*(J$19:J$1010&lt;&gt;0)*(J$19:J$1010&lt;&gt;"F"))))),"")</f>
        <v/>
      </c>
      <c r="K12" s="50" t="str" cm="1">
        <f t="array" ref="K12">+IFERROR(_xlfn.CONCAT(_xlfn.UNIQUE(_xlfn._xlws.FILTER(K$19:K$1010,(($A$19:$A$1010=$A12)*(K$19:K$1010&lt;&gt;0)*(K$19:K$1010&lt;&gt;"F"))))),"")</f>
        <v/>
      </c>
      <c r="L12" s="48" t="str" cm="1">
        <f t="array" ref="L12">+IFERROR(_xlfn.CONCAT(_xlfn.UNIQUE(_xlfn._xlws.FILTER(L$19:L$1010,(($A$19:$A$1010=$A12)*(L$19:L$1010&lt;&gt;0)*(L$19:L$1010&lt;&gt;"F"))))),"")</f>
        <v/>
      </c>
      <c r="M12" s="49" t="str" cm="1">
        <f t="array" ref="M12">+IFERROR(_xlfn.CONCAT(_xlfn.UNIQUE(_xlfn._xlws.FILTER(M$19:M$1010,(($A$19:$A$1010=$A12)*(M$19:M$1010&lt;&gt;0)*(M$19:M$1010&lt;&gt;"F"))))),"")</f>
        <v/>
      </c>
      <c r="N12" s="49" t="str" cm="1">
        <f t="array" ref="N12">+IFERROR(_xlfn.CONCAT(_xlfn.UNIQUE(_xlfn._xlws.FILTER(N$19:N$1010,(($A$19:$A$1010=$A12)*(N$19:N$1010&lt;&gt;0)*(N$19:N$1010&lt;&gt;"F"))))),"")</f>
        <v/>
      </c>
      <c r="O12" s="50" t="str" cm="1">
        <f t="array" ref="O12">+IFERROR(_xlfn.CONCAT(_xlfn.UNIQUE(_xlfn._xlws.FILTER(O$19:O$1010,(($A$19:$A$1010=$A12)*(O$19:O$1010&lt;&gt;0)*(O$19:O$1010&lt;&gt;"F"))))),"")</f>
        <v/>
      </c>
      <c r="P12" s="48" t="str" cm="1">
        <f t="array" ref="P12">+IFERROR(_xlfn.CONCAT(_xlfn.UNIQUE(_xlfn._xlws.FILTER(P$19:P$1010,(($A$19:$A$1010=$A12)*(P$19:P$1010&lt;&gt;0)*(P$19:P$1010&lt;&gt;"F"))))),"")</f>
        <v/>
      </c>
      <c r="Q12" s="49" t="str" cm="1">
        <f t="array" ref="Q12">+IFERROR(_xlfn.CONCAT(_xlfn.UNIQUE(_xlfn._xlws.FILTER(Q$19:Q$1010,(($A$19:$A$1010=$A12)*(Q$19:Q$1010&lt;&gt;0)*(Q$19:Q$1010&lt;&gt;"F"))))),"")</f>
        <v/>
      </c>
      <c r="R12" s="49" t="str" cm="1">
        <f t="array" ref="R12">+IFERROR(_xlfn.CONCAT(_xlfn.UNIQUE(_xlfn._xlws.FILTER(R$19:R$1010,(($A$19:$A$1010=$A12)*(R$19:R$1010&lt;&gt;0)*(R$19:R$1010&lt;&gt;"F"))))),"")</f>
        <v/>
      </c>
      <c r="S12" s="50" t="str" cm="1">
        <f t="array" ref="S12">+IFERROR(_xlfn.CONCAT(_xlfn.UNIQUE(_xlfn._xlws.FILTER(S$19:S$1010,(($A$19:$A$1010=$A12)*(S$19:S$1010&lt;&gt;0)*(S$19:S$1010&lt;&gt;"F"))))),"")</f>
        <v/>
      </c>
      <c r="T12" s="48" t="str" cm="1">
        <f t="array" ref="T12">+IFERROR(_xlfn.CONCAT(_xlfn.UNIQUE(_xlfn._xlws.FILTER(T$19:T$1010,(($A$19:$A$1010=$A12)*(T$19:T$1010&lt;&gt;0)*(T$19:T$1010&lt;&gt;"F"))))),"")</f>
        <v/>
      </c>
      <c r="U12" s="49" t="str" cm="1">
        <f t="array" ref="U12">+IFERROR(_xlfn.CONCAT(_xlfn.UNIQUE(_xlfn._xlws.FILTER(U$19:U$1010,(($A$19:$A$1010=$A12)*(U$19:U$1010&lt;&gt;0)*(U$19:U$1010&lt;&gt;"F"))))),"")</f>
        <v/>
      </c>
      <c r="V12" s="49" t="str" cm="1">
        <f t="array" ref="V12">+IFERROR(_xlfn.CONCAT(_xlfn.UNIQUE(_xlfn._xlws.FILTER(V$19:V$1010,(($A$19:$A$1010=$A12)*(V$19:V$1010&lt;&gt;0)*(V$19:V$1010&lt;&gt;"F"))))),"")</f>
        <v/>
      </c>
      <c r="W12" s="49" t="str" cm="1">
        <f t="array" ref="W12">+IFERROR(_xlfn.CONCAT(_xlfn.UNIQUE(_xlfn._xlws.FILTER(W$19:W$1010,(($A$19:$A$1010=$A12)*(W$19:W$1010&lt;&gt;0)*(W$19:W$1010&lt;&gt;"F"))))),"")</f>
        <v/>
      </c>
      <c r="X12" s="50" t="str" cm="1">
        <f t="array" ref="X12">+IFERROR(_xlfn.CONCAT(_xlfn.UNIQUE(_xlfn._xlws.FILTER(X$19:X$1010,(($A$19:$A$1010=$A12)*(X$19:X$1010&lt;&gt;0)*(X$19:X$1010&lt;&gt;"F"))))),"")</f>
        <v/>
      </c>
      <c r="Y12" s="48" t="str" cm="1">
        <f t="array" ref="Y12">+IFERROR(_xlfn.CONCAT(_xlfn.UNIQUE(_xlfn._xlws.FILTER(Y$19:Y$1010,(($A$19:$A$1010=$A12)*(Y$19:Y$1010&lt;&gt;0)*(Y$19:Y$1010&lt;&gt;"F"))))),"")</f>
        <v/>
      </c>
      <c r="Z12" s="49" t="str" cm="1">
        <f t="array" ref="Z12">+IFERROR(_xlfn.CONCAT(_xlfn.UNIQUE(_xlfn._xlws.FILTER(Z$19:Z$1010,(($A$19:$A$1010=$A12)*(Z$19:Z$1010&lt;&gt;0)*(Z$19:Z$1010&lt;&gt;"F"))))),"")</f>
        <v/>
      </c>
      <c r="AA12" s="49" t="str" cm="1">
        <f t="array" ref="AA12">+IFERROR(_xlfn.CONCAT(_xlfn.UNIQUE(_xlfn._xlws.FILTER(AA$19:AA$1010,(($A$19:$A$1010=$A12)*(AA$19:AA$1010&lt;&gt;0)*(AA$19:AA$1010&lt;&gt;"F"))))),"")</f>
        <v/>
      </c>
      <c r="AB12" s="50" t="str" cm="1">
        <f t="array" ref="AB12">+IFERROR(_xlfn.CONCAT(_xlfn.UNIQUE(_xlfn._xlws.FILTER(AB$19:AB$1010,(($A$19:$A$1010=$A12)*(AB$19:AB$1010&lt;&gt;0)*(AB$19:AB$1010&lt;&gt;"F"))))),"")</f>
        <v/>
      </c>
      <c r="AC12" s="48" t="str" cm="1">
        <f t="array" ref="AC12">+IFERROR(_xlfn.CONCAT(_xlfn.UNIQUE(_xlfn._xlws.FILTER(AC$19:AC$1010,(($A$19:$A$1010=$A12)*(AC$19:AC$1010&lt;&gt;0)*(AC$19:AC$1010&lt;&gt;"F"))))),"")</f>
        <v/>
      </c>
      <c r="AD12" s="49" t="str" cm="1">
        <f t="array" ref="AD12">+IFERROR(_xlfn.CONCAT(_xlfn.UNIQUE(_xlfn._xlws.FILTER(AD$19:AD$1010,(($A$19:$A$1010=$A12)*(AD$19:AD$1010&lt;&gt;0)*(AD$19:AD$1010&lt;&gt;"F"))))),"")</f>
        <v/>
      </c>
      <c r="AE12" s="49" t="str" cm="1">
        <f t="array" ref="AE12">+IFERROR(_xlfn.CONCAT(_xlfn.UNIQUE(_xlfn._xlws.FILTER(AE$19:AE$1010,(($A$19:$A$1010=$A12)*(AE$19:AE$1010&lt;&gt;0)*(AE$19:AE$1010&lt;&gt;"F"))))),"")</f>
        <v/>
      </c>
      <c r="AF12" s="50" t="str" cm="1">
        <f t="array" ref="AF12">+IFERROR(_xlfn.CONCAT(_xlfn.UNIQUE(_xlfn._xlws.FILTER(AF$19:AF$1010,(($A$19:$A$1010=$A12)*(AF$19:AF$1010&lt;&gt;0)*(AF$19:AF$1010&lt;&gt;"F"))))),"")</f>
        <v/>
      </c>
      <c r="AG12" s="48" t="str" cm="1">
        <f t="array" ref="AG12">+IFERROR(_xlfn.CONCAT(_xlfn.UNIQUE(_xlfn._xlws.FILTER(AG$19:AG$1010,(($A$19:$A$1010=$A12)*(AG$19:AG$1010&lt;&gt;0)*(AG$19:AG$1010&lt;&gt;"F"))))),"")</f>
        <v/>
      </c>
      <c r="AH12" s="49" t="str" cm="1">
        <f t="array" ref="AH12">+IFERROR(_xlfn.CONCAT(_xlfn.UNIQUE(_xlfn._xlws.FILTER(AH$19:AH$1010,(($A$19:$A$1010=$A12)*(AH$19:AH$1010&lt;&gt;0)*(AH$19:AH$1010&lt;&gt;"F"))))),"")</f>
        <v/>
      </c>
      <c r="AI12" s="49" t="str" cm="1">
        <f t="array" ref="AI12">+IFERROR(_xlfn.CONCAT(_xlfn.UNIQUE(_xlfn._xlws.FILTER(AI$19:AI$1010,(($A$19:$A$1010=$A12)*(AI$19:AI$1010&lt;&gt;0)*(AI$19:AI$1010&lt;&gt;"F"))))),"")</f>
        <v/>
      </c>
      <c r="AJ12" s="49" t="str" cm="1">
        <f t="array" ref="AJ12">+IFERROR(_xlfn.CONCAT(_xlfn.UNIQUE(_xlfn._xlws.FILTER(AJ$19:AJ$1010,(($A$19:$A$1010=$A12)*(AJ$19:AJ$1010&lt;&gt;0)*(AJ$19:AJ$1010&lt;&gt;"F"))))),"")</f>
        <v/>
      </c>
      <c r="AK12" s="50" t="str" cm="1">
        <f t="array" ref="AK12">+IFERROR(_xlfn.CONCAT(_xlfn.UNIQUE(_xlfn._xlws.FILTER(AK$19:AK$1010,(($A$19:$A$1010=$A12)*(AK$19:AK$1010&lt;&gt;0)*(AK$19:AK$1010&lt;&gt;"F"))))),"")</f>
        <v/>
      </c>
      <c r="AL12" s="48" t="str" cm="1">
        <f t="array" ref="AL12">+IFERROR(_xlfn.CONCAT(_xlfn.UNIQUE(_xlfn._xlws.FILTER(AL$19:AL$1010,(($A$19:$A$1010=$A12)*(AL$19:AL$1010&lt;&gt;0)*(AL$19:AL$1010&lt;&gt;"F"))))),"")</f>
        <v/>
      </c>
      <c r="AM12" s="49" t="str" cm="1">
        <f t="array" ref="AM12">+IFERROR(_xlfn.CONCAT(_xlfn.UNIQUE(_xlfn._xlws.FILTER(AM$19:AM$1010,(($A$19:$A$1010=$A12)*(AM$19:AM$1010&lt;&gt;0)*(AM$19:AM$1010&lt;&gt;"F"))))),"")</f>
        <v/>
      </c>
      <c r="AN12" s="49" t="str" cm="1">
        <f t="array" ref="AN12">+IFERROR(_xlfn.CONCAT(_xlfn.UNIQUE(_xlfn._xlws.FILTER(AN$19:AN$1010,(($A$19:$A$1010=$A12)*(AN$19:AN$1010&lt;&gt;0)*(AN$19:AN$1010&lt;&gt;"F"))))),"")</f>
        <v/>
      </c>
      <c r="AO12" s="50" t="str" cm="1">
        <f t="array" ref="AO12">+IFERROR(_xlfn.CONCAT(_xlfn.UNIQUE(_xlfn._xlws.FILTER(AO$19:AO$1010,(($A$19:$A$1010=$A12)*(AO$19:AO$1010&lt;&gt;0)*(AO$19:AO$1010&lt;&gt;"F"))))),"")</f>
        <v/>
      </c>
      <c r="AP12" s="48" t="str" cm="1">
        <f t="array" ref="AP12">+IFERROR(_xlfn.CONCAT(_xlfn.UNIQUE(_xlfn._xlws.FILTER(AP$19:AP$1010,(($A$19:$A$1010=$A12)*(AP$19:AP$1010&lt;&gt;0)*(AP$19:AP$1010&lt;&gt;"F"))))),"")</f>
        <v/>
      </c>
      <c r="AQ12" s="49" t="str" cm="1">
        <f t="array" ref="AQ12">+IFERROR(_xlfn.CONCAT(_xlfn.UNIQUE(_xlfn._xlws.FILTER(AQ$19:AQ$1010,(($A$19:$A$1010=$A12)*(AQ$19:AQ$1010&lt;&gt;0)*(AQ$19:AQ$1010&lt;&gt;"F"))))),"")</f>
        <v/>
      </c>
      <c r="AR12" s="49" t="str" cm="1">
        <f t="array" ref="AR12">+IFERROR(_xlfn.CONCAT(_xlfn.UNIQUE(_xlfn._xlws.FILTER(AR$19:AR$1010,(($A$19:$A$1010=$A12)*(AR$19:AR$1010&lt;&gt;0)*(AR$19:AR$1010&lt;&gt;"F"))))),"")</f>
        <v/>
      </c>
      <c r="AS12" s="50" t="str" cm="1">
        <f t="array" ref="AS12">+IFERROR(_xlfn.CONCAT(_xlfn.UNIQUE(_xlfn._xlws.FILTER(AS$19:AS$1010,(($A$19:$A$1010=$A12)*(AS$19:AS$1010&lt;&gt;0)*(AS$19:AS$1010&lt;&gt;"F"))))),"")</f>
        <v/>
      </c>
      <c r="AT12" s="48" t="str" cm="1">
        <f t="array" ref="AT12">+IFERROR(_xlfn.CONCAT(_xlfn.UNIQUE(_xlfn._xlws.FILTER(AT$19:AT$1010,(($A$19:$A$1010=$A12)*(AT$19:AT$1010&lt;&gt;0)*(AT$19:AT$1010&lt;&gt;"F"))))),"")</f>
        <v/>
      </c>
      <c r="AU12" s="49" t="str" cm="1">
        <f t="array" ref="AU12">+IFERROR(_xlfn.CONCAT(_xlfn.UNIQUE(_xlfn._xlws.FILTER(AU$19:AU$1010,(($A$19:$A$1010=$A12)*(AU$19:AU$1010&lt;&gt;0)*(AU$19:AU$1010&lt;&gt;"F"))))),"")</f>
        <v/>
      </c>
      <c r="AV12" s="49" t="str" cm="1">
        <f t="array" ref="AV12">+IFERROR(_xlfn.CONCAT(_xlfn.UNIQUE(_xlfn._xlws.FILTER(AV$19:AV$1010,(($A$19:$A$1010=$A12)*(AV$19:AV$1010&lt;&gt;0)*(AV$19:AV$1010&lt;&gt;"F"))))),"")</f>
        <v/>
      </c>
      <c r="AW12" s="49" t="str" cm="1">
        <f t="array" ref="AW12">+IFERROR(_xlfn.CONCAT(_xlfn.UNIQUE(_xlfn._xlws.FILTER(AW$19:AW$1010,(($A$19:$A$1010=$A12)*(AW$19:AW$1010&lt;&gt;0)*(AW$19:AW$1010&lt;&gt;"F"))))),"")</f>
        <v/>
      </c>
      <c r="AX12" s="50" t="str" cm="1">
        <f t="array" ref="AX12">+IFERROR(_xlfn.CONCAT(_xlfn.UNIQUE(_xlfn._xlws.FILTER(AX$19:AX$1010,(($A$19:$A$1010=$A12)*(AX$19:AX$1010&lt;&gt;0)*(AX$19:AX$1010&lt;&gt;"F"))))),"")</f>
        <v/>
      </c>
      <c r="AY12" s="48" t="str" cm="1">
        <f t="array" ref="AY12">+IFERROR(_xlfn.CONCAT(_xlfn.UNIQUE(_xlfn._xlws.FILTER(AY$19:AY$1010,(($A$19:$A$1010=$A12)*(AY$19:AY$1010&lt;&gt;0)*(AY$19:AY$1010&lt;&gt;"F"))))),"")</f>
        <v/>
      </c>
      <c r="AZ12" s="49" t="str" cm="1">
        <f t="array" ref="AZ12">+IFERROR(_xlfn.CONCAT(_xlfn.UNIQUE(_xlfn._xlws.FILTER(AZ$19:AZ$1010,(($A$19:$A$1010=$A12)*(AZ$19:AZ$1010&lt;&gt;0)*(AZ$19:AZ$1010&lt;&gt;"F"))))),"")</f>
        <v/>
      </c>
      <c r="BA12" s="49" t="str" cm="1">
        <f t="array" ref="BA12">+IFERROR(_xlfn.CONCAT(_xlfn.UNIQUE(_xlfn._xlws.FILTER(BA$19:BA$1010,(($A$19:$A$1010=$A12)*(BA$19:BA$1010&lt;&gt;0)*(BA$19:BA$1010&lt;&gt;"F"))))),"")</f>
        <v/>
      </c>
      <c r="BB12" s="50" t="str" cm="1">
        <f t="array" ref="BB12">+IFERROR(_xlfn.CONCAT(_xlfn.UNIQUE(_xlfn._xlws.FILTER(BB$19:BB$1010,(($A$19:$A$1010=$A12)*(BB$19:BB$1010&lt;&gt;0)*(BB$19:BB$1010&lt;&gt;"F"))))),"")</f>
        <v/>
      </c>
      <c r="BC12" s="48" t="str" cm="1">
        <f t="array" ref="BC12">+IFERROR(_xlfn.CONCAT(_xlfn.UNIQUE(_xlfn._xlws.FILTER(BC$19:BC$1010,(($A$19:$A$1010=$A12)*(BC$19:BC$1010&lt;&gt;0)*(BC$19:BC$1010&lt;&gt;"F"))))),"")</f>
        <v/>
      </c>
      <c r="BD12" s="49" t="str" cm="1">
        <f t="array" ref="BD12">+IFERROR(_xlfn.CONCAT(_xlfn.UNIQUE(_xlfn._xlws.FILTER(BD$19:BD$1010,(($A$19:$A$1010=$A12)*(BD$19:BD$1010&lt;&gt;0)*(BD$19:BD$1010&lt;&gt;"F"))))),"")</f>
        <v/>
      </c>
      <c r="BE12" s="49" t="str" cm="1">
        <f t="array" ref="BE12">+IFERROR(_xlfn.CONCAT(_xlfn.UNIQUE(_xlfn._xlws.FILTER(BE$19:BE$1010,(($A$19:$A$1010=$A12)*(BE$19:BE$1010&lt;&gt;0)*(BE$19:BE$1010&lt;&gt;"F"))))),"")</f>
        <v/>
      </c>
      <c r="BF12" s="50" t="str" cm="1">
        <f t="array" ref="BF12">+IFERROR(_xlfn.CONCAT(_xlfn.UNIQUE(_xlfn._xlws.FILTER(BF$19:BF$1010,(($A$19:$A$1010=$A12)*(BF$19:BF$1010&lt;&gt;0)*(BF$19:BF$1010&lt;&gt;"F"))))),"")</f>
        <v/>
      </c>
      <c r="BG12" s="48" t="str" cm="1">
        <f t="array" ref="BG12">+IFERROR(_xlfn.CONCAT(_xlfn.UNIQUE(_xlfn._xlws.FILTER(BG$19:BG$1010,(($A$19:$A$1010=$A12)*(BG$19:BG$1010&lt;&gt;0)*(BG$19:BG$1010&lt;&gt;"F"))))),"")</f>
        <v/>
      </c>
      <c r="BH12" s="49" t="str" cm="1">
        <f t="array" ref="BH12">+IFERROR(_xlfn.CONCAT(_xlfn.UNIQUE(_xlfn._xlws.FILTER(BH$19:BH$1010,(($A$19:$A$1010=$A12)*(BH$19:BH$1010&lt;&gt;0)*(BH$19:BH$1010&lt;&gt;"F"))))),"")</f>
        <v/>
      </c>
      <c r="BI12" s="49" t="str" cm="1">
        <f t="array" ref="BI12">+IFERROR(_xlfn.CONCAT(_xlfn.UNIQUE(_xlfn._xlws.FILTER(BI$19:BI$1010,(($A$19:$A$1010=$A12)*(BI$19:BI$1010&lt;&gt;0)*(BI$19:BI$1010&lt;&gt;"F"))))),"")</f>
        <v/>
      </c>
      <c r="BJ12" s="49" t="str" cm="1">
        <f t="array" ref="BJ12">+IFERROR(_xlfn.CONCAT(_xlfn.UNIQUE(_xlfn._xlws.FILTER(BJ$19:BJ$1010,(($A$19:$A$1010=$A12)*(BJ$19:BJ$1010&lt;&gt;0)*(BJ$19:BJ$1010&lt;&gt;"F"))))),"")</f>
        <v/>
      </c>
      <c r="BK12" s="50" t="str" cm="1">
        <f t="array" ref="BK12">+IFERROR(_xlfn.CONCAT(_xlfn.UNIQUE(_xlfn._xlws.FILTER(BK$19:BK$1010,(($A$19:$A$1010=$A12)*(BK$19:BK$1010&lt;&gt;0)*(BK$19:BK$1010&lt;&gt;"F"))))),"")</f>
        <v/>
      </c>
      <c r="BL12" s="48" t="str" cm="1">
        <f t="array" ref="BL12">+IFERROR(_xlfn.CONCAT(_xlfn.UNIQUE(_xlfn._xlws.FILTER(BL$19:BL$1010,(($A$19:$A$1010=$A12)*(BL$19:BL$1010&lt;&gt;0)*(BL$19:BL$1010&lt;&gt;"F"))))),"")</f>
        <v/>
      </c>
      <c r="BM12" s="49" t="str" cm="1">
        <f t="array" ref="BM12">+IFERROR(_xlfn.CONCAT(_xlfn.UNIQUE(_xlfn._xlws.FILTER(BM$19:BM$1010,(($A$19:$A$1010=$A12)*(BM$19:BM$1010&lt;&gt;0)*(BM$19:BM$1010&lt;&gt;"F"))))),"")</f>
        <v/>
      </c>
      <c r="BN12" s="49" t="str" cm="1">
        <f t="array" ref="BN12">+IFERROR(_xlfn.CONCAT(_xlfn.UNIQUE(_xlfn._xlws.FILTER(BN$19:BN$1010,(($A$19:$A$1010=$A12)*(BN$19:BN$1010&lt;&gt;0)*(BN$19:BN$1010&lt;&gt;"F"))))),"")</f>
        <v/>
      </c>
      <c r="BO12" s="50" t="str" cm="1">
        <f t="array" ref="BO12">+IFERROR(_xlfn.CONCAT(_xlfn.UNIQUE(_xlfn._xlws.FILTER(BO$19:BO$1010,(($A$19:$A$1010=$A12)*(BO$19:BO$1010&lt;&gt;0)*(BO$19:BO$1010&lt;&gt;"F"))))),"")</f>
        <v/>
      </c>
      <c r="BP12" s="48" t="str" cm="1">
        <f t="array" ref="BP12">+IFERROR(_xlfn.CONCAT(_xlfn.UNIQUE(_xlfn._xlws.FILTER(BP$19:BP$1010,(($A$19:$A$1010=$A12)*(BP$19:BP$1010&lt;&gt;0)*(BP$19:BP$1010&lt;&gt;"F"))))),"")</f>
        <v/>
      </c>
      <c r="BQ12" s="49" t="str" cm="1">
        <f t="array" ref="BQ12">+IFERROR(_xlfn.CONCAT(_xlfn.UNIQUE(_xlfn._xlws.FILTER(BQ$19:BQ$1010,(($A$19:$A$1010=$A12)*(BQ$19:BQ$1010&lt;&gt;0)*(BQ$19:BQ$1010&lt;&gt;"F"))))),"")</f>
        <v/>
      </c>
      <c r="BR12" s="49" t="str" cm="1">
        <f t="array" ref="BR12">+IFERROR(_xlfn.CONCAT(_xlfn.UNIQUE(_xlfn._xlws.FILTER(BR$19:BR$1010,(($A$19:$A$1010=$A12)*(BR$19:BR$1010&lt;&gt;0)*(BR$19:BR$1010&lt;&gt;"F"))))),"")</f>
        <v/>
      </c>
      <c r="BS12" s="50" t="str" cm="1">
        <f t="array" ref="BS12">+IFERROR(_xlfn.CONCAT(_xlfn.UNIQUE(_xlfn._xlws.FILTER(BS$19:BS$1010,(($A$19:$A$1010=$A12)*(BS$19:BS$1010&lt;&gt;0)*(BS$19:BS$1010&lt;&gt;"F"))))),"")</f>
        <v/>
      </c>
    </row>
    <row r="13" spans="1:71" x14ac:dyDescent="0.4">
      <c r="A13" s="10" t="str">
        <v>RAVEX - BALDEIO PARCIAL</v>
      </c>
      <c r="C13" s="11">
        <v>0</v>
      </c>
      <c r="D13" s="12" t="str">
        <v>Melhoria de Processo</v>
      </c>
      <c r="E13" s="12" t="str">
        <v>Evolução, Melhoria ou Adequação</v>
      </c>
      <c r="F13" s="12" t="str">
        <v>Alta</v>
      </c>
    </row>
    <row r="15" spans="1:71" ht="21.6" x14ac:dyDescent="0.4">
      <c r="G15" s="36" t="s">
        <v>163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</row>
    <row r="16" spans="1:71" x14ac:dyDescent="0.4">
      <c r="G16" s="39" t="s">
        <v>142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1"/>
      <c r="T16" s="39" t="s">
        <v>143</v>
      </c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1"/>
      <c r="AG16" s="39" t="s">
        <v>144</v>
      </c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1"/>
      <c r="AT16" s="39" t="s">
        <v>145</v>
      </c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1"/>
      <c r="BG16" s="39" t="s">
        <v>146</v>
      </c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1"/>
    </row>
    <row r="17" spans="1:77" x14ac:dyDescent="0.4">
      <c r="G17" s="39" t="s">
        <v>137</v>
      </c>
      <c r="H17" s="40"/>
      <c r="I17" s="40"/>
      <c r="J17" s="40"/>
      <c r="K17" s="41"/>
      <c r="L17" s="39" t="s">
        <v>138</v>
      </c>
      <c r="M17" s="40"/>
      <c r="N17" s="40"/>
      <c r="O17" s="41"/>
      <c r="P17" s="39" t="s">
        <v>139</v>
      </c>
      <c r="Q17" s="40"/>
      <c r="R17" s="40"/>
      <c r="S17" s="41"/>
      <c r="T17" s="39" t="s">
        <v>128</v>
      </c>
      <c r="U17" s="40"/>
      <c r="V17" s="40"/>
      <c r="W17" s="40"/>
      <c r="X17" s="41"/>
      <c r="Y17" s="39" t="s">
        <v>129</v>
      </c>
      <c r="Z17" s="40"/>
      <c r="AA17" s="40"/>
      <c r="AB17" s="41"/>
      <c r="AC17" s="39" t="s">
        <v>130</v>
      </c>
      <c r="AD17" s="40"/>
      <c r="AE17" s="40"/>
      <c r="AF17" s="41"/>
      <c r="AG17" s="39" t="s">
        <v>131</v>
      </c>
      <c r="AH17" s="40"/>
      <c r="AI17" s="40"/>
      <c r="AJ17" s="40"/>
      <c r="AK17" s="41"/>
      <c r="AL17" s="39" t="s">
        <v>132</v>
      </c>
      <c r="AM17" s="40"/>
      <c r="AN17" s="40"/>
      <c r="AO17" s="41"/>
      <c r="AP17" s="39" t="s">
        <v>133</v>
      </c>
      <c r="AQ17" s="40"/>
      <c r="AR17" s="40"/>
      <c r="AS17" s="41"/>
      <c r="AT17" s="39" t="s">
        <v>134</v>
      </c>
      <c r="AU17" s="40"/>
      <c r="AV17" s="40"/>
      <c r="AW17" s="40"/>
      <c r="AX17" s="41"/>
      <c r="AY17" s="39" t="s">
        <v>135</v>
      </c>
      <c r="AZ17" s="40"/>
      <c r="BA17" s="40"/>
      <c r="BB17" s="41"/>
      <c r="BC17" s="39" t="s">
        <v>136</v>
      </c>
      <c r="BD17" s="40"/>
      <c r="BE17" s="40"/>
      <c r="BF17" s="41"/>
      <c r="BG17" s="39" t="s">
        <v>137</v>
      </c>
      <c r="BH17" s="40"/>
      <c r="BI17" s="40"/>
      <c r="BJ17" s="40"/>
      <c r="BK17" s="41"/>
      <c r="BL17" s="39" t="s">
        <v>138</v>
      </c>
      <c r="BM17" s="40"/>
      <c r="BN17" s="40"/>
      <c r="BO17" s="41"/>
      <c r="BP17" s="39" t="s">
        <v>139</v>
      </c>
      <c r="BQ17" s="40"/>
      <c r="BR17" s="40"/>
      <c r="BS17" s="41"/>
    </row>
    <row r="18" spans="1:77" x14ac:dyDescent="0.4">
      <c r="G18" s="37">
        <v>40</v>
      </c>
      <c r="H18" s="12">
        <v>41</v>
      </c>
      <c r="I18" s="12">
        <v>42</v>
      </c>
      <c r="J18" s="12">
        <v>43</v>
      </c>
      <c r="K18" s="38">
        <v>44</v>
      </c>
      <c r="L18" s="37">
        <v>45</v>
      </c>
      <c r="M18" s="12">
        <v>46</v>
      </c>
      <c r="N18" s="12">
        <v>47</v>
      </c>
      <c r="O18" s="38">
        <v>48</v>
      </c>
      <c r="P18" s="37">
        <v>49</v>
      </c>
      <c r="Q18" s="12">
        <v>50</v>
      </c>
      <c r="R18" s="12">
        <v>51</v>
      </c>
      <c r="S18" s="38">
        <v>52</v>
      </c>
      <c r="T18" s="37">
        <v>1</v>
      </c>
      <c r="U18" s="12">
        <v>2</v>
      </c>
      <c r="V18" s="12">
        <v>3</v>
      </c>
      <c r="W18" s="12">
        <v>4</v>
      </c>
      <c r="X18" s="38">
        <v>5</v>
      </c>
      <c r="Y18" s="37">
        <v>6</v>
      </c>
      <c r="Z18" s="12">
        <v>7</v>
      </c>
      <c r="AA18" s="12">
        <v>8</v>
      </c>
      <c r="AB18" s="38">
        <v>9</v>
      </c>
      <c r="AC18" s="37">
        <v>10</v>
      </c>
      <c r="AD18" s="12">
        <v>11</v>
      </c>
      <c r="AE18" s="12">
        <v>12</v>
      </c>
      <c r="AF18" s="38">
        <v>13</v>
      </c>
      <c r="AG18" s="37">
        <v>14</v>
      </c>
      <c r="AH18" s="12">
        <v>15</v>
      </c>
      <c r="AI18" s="12">
        <v>16</v>
      </c>
      <c r="AJ18" s="12">
        <v>17</v>
      </c>
      <c r="AK18" s="38">
        <v>18</v>
      </c>
      <c r="AL18" s="37">
        <v>19</v>
      </c>
      <c r="AM18" s="12">
        <v>20</v>
      </c>
      <c r="AN18" s="12">
        <v>21</v>
      </c>
      <c r="AO18" s="38">
        <v>22</v>
      </c>
      <c r="AP18" s="37">
        <v>23</v>
      </c>
      <c r="AQ18" s="12">
        <v>24</v>
      </c>
      <c r="AR18" s="12">
        <v>25</v>
      </c>
      <c r="AS18" s="38">
        <v>26</v>
      </c>
      <c r="AT18" s="37">
        <v>27</v>
      </c>
      <c r="AU18" s="12">
        <v>28</v>
      </c>
      <c r="AV18" s="12">
        <v>29</v>
      </c>
      <c r="AW18" s="12">
        <v>30</v>
      </c>
      <c r="AX18" s="38">
        <v>31</v>
      </c>
      <c r="AY18" s="37">
        <v>32</v>
      </c>
      <c r="AZ18" s="12">
        <v>33</v>
      </c>
      <c r="BA18" s="12">
        <v>34</v>
      </c>
      <c r="BB18" s="38">
        <v>35</v>
      </c>
      <c r="BC18" s="37">
        <v>36</v>
      </c>
      <c r="BD18" s="12">
        <v>37</v>
      </c>
      <c r="BE18" s="12">
        <v>38</v>
      </c>
      <c r="BF18" s="38">
        <v>39</v>
      </c>
      <c r="BG18" s="37">
        <v>40</v>
      </c>
      <c r="BH18" s="12">
        <v>41</v>
      </c>
      <c r="BI18" s="12">
        <v>42</v>
      </c>
      <c r="BJ18" s="12">
        <v>43</v>
      </c>
      <c r="BK18" s="38">
        <v>44</v>
      </c>
      <c r="BL18" s="37">
        <v>45</v>
      </c>
      <c r="BM18" s="12">
        <v>46</v>
      </c>
      <c r="BN18" s="12">
        <v>47</v>
      </c>
      <c r="BO18" s="38">
        <v>48</v>
      </c>
      <c r="BP18" s="37">
        <v>49</v>
      </c>
      <c r="BQ18" s="12">
        <v>50</v>
      </c>
      <c r="BR18" s="12">
        <v>51</v>
      </c>
      <c r="BS18" s="38">
        <v>52</v>
      </c>
    </row>
    <row r="19" spans="1:77" ht="30" customHeight="1" x14ac:dyDescent="0.4">
      <c r="A19" s="17" t="s">
        <v>54</v>
      </c>
      <c r="B19" s="18" t="e" vm="1">
        <f>+_xlfn.XLOOKUP($A19,tab_recursos[nome_recurso],tab_recursos[foto_recurso],"")</f>
        <v>#VALUE!</v>
      </c>
      <c r="C19" s="19"/>
      <c r="D19" s="20"/>
      <c r="E19" s="20"/>
      <c r="F19" s="2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2"/>
      <c r="W19" s="52"/>
      <c r="X19" s="52"/>
      <c r="Y19" s="52"/>
      <c r="Z19" s="52"/>
      <c r="AA19" s="52"/>
      <c r="AB19" s="52"/>
      <c r="AC19" s="52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</row>
    <row r="20" spans="1:77" s="13" customFormat="1" ht="39.9" customHeight="1" x14ac:dyDescent="0.3">
      <c r="A20" s="25" t="s">
        <v>103</v>
      </c>
      <c r="B20" s="25"/>
      <c r="C20" s="23" t="e" cm="1">
        <f t="array" ref="C20">+_xlfn.XLOOKUP($A20,tab_projetos[nome_projeto],tab_projetos[[ganho_projetado]:[complexidade]])</f>
        <v>#N/A</v>
      </c>
      <c r="D20" s="24"/>
      <c r="E20" s="24"/>
      <c r="F20" s="24"/>
      <c r="G20" s="53"/>
      <c r="H20" s="53"/>
      <c r="I20" s="53"/>
      <c r="J20" s="53"/>
      <c r="K20" s="53"/>
      <c r="L20" s="53"/>
      <c r="M20" s="53"/>
      <c r="N20" s="53" t="s">
        <v>16</v>
      </c>
      <c r="O20" s="53" t="s">
        <v>15</v>
      </c>
      <c r="P20" s="53" t="s">
        <v>15</v>
      </c>
      <c r="Q20" s="53" t="s">
        <v>15</v>
      </c>
      <c r="R20" s="53" t="s">
        <v>14</v>
      </c>
      <c r="S20" s="53" t="s">
        <v>14</v>
      </c>
      <c r="T20" s="53" t="s">
        <v>191</v>
      </c>
      <c r="U20" s="53" t="s">
        <v>191</v>
      </c>
      <c r="V20" s="53" t="s">
        <v>191</v>
      </c>
      <c r="W20" s="53" t="s">
        <v>191</v>
      </c>
      <c r="X20" s="53" t="s">
        <v>191</v>
      </c>
      <c r="Y20" s="53" t="s">
        <v>17</v>
      </c>
      <c r="Z20" s="53" t="s">
        <v>17</v>
      </c>
      <c r="AA20" s="53" t="s">
        <v>18</v>
      </c>
      <c r="AB20" s="53" t="s">
        <v>18</v>
      </c>
      <c r="AC20" s="53" t="s">
        <v>165</v>
      </c>
      <c r="AD20" s="53" t="s">
        <v>165</v>
      </c>
      <c r="AE20" s="53" t="s">
        <v>164</v>
      </c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</row>
    <row r="21" spans="1:77" s="13" customFormat="1" ht="39.9" customHeight="1" x14ac:dyDescent="0.3">
      <c r="A21" s="25" t="s">
        <v>102</v>
      </c>
      <c r="B21" s="25"/>
      <c r="C21" s="23" t="e" cm="1">
        <f t="array" ref="C21">+_xlfn.XLOOKUP($A21,tab_projetos[nome_projeto],tab_projetos[[ganho_projetado]:[complexidade]])</f>
        <v>#N/A</v>
      </c>
      <c r="D21" s="24"/>
      <c r="E21" s="24"/>
      <c r="F21" s="24"/>
      <c r="G21" s="53"/>
      <c r="H21" s="53"/>
      <c r="I21" s="53"/>
      <c r="J21" s="53"/>
      <c r="K21" s="53"/>
      <c r="L21" s="53"/>
      <c r="M21" s="53"/>
      <c r="N21" s="53"/>
      <c r="O21" s="53" t="s">
        <v>16</v>
      </c>
      <c r="P21" s="53" t="s">
        <v>15</v>
      </c>
      <c r="Q21" s="53" t="s">
        <v>15</v>
      </c>
      <c r="R21" s="53" t="s">
        <v>15</v>
      </c>
      <c r="S21" s="53" t="s">
        <v>14</v>
      </c>
      <c r="T21" s="53" t="s">
        <v>191</v>
      </c>
      <c r="U21" s="53" t="s">
        <v>191</v>
      </c>
      <c r="V21" s="53" t="s">
        <v>191</v>
      </c>
      <c r="W21" s="53" t="s">
        <v>191</v>
      </c>
      <c r="X21" s="53" t="s">
        <v>191</v>
      </c>
      <c r="Y21" s="53" t="s">
        <v>17</v>
      </c>
      <c r="Z21" s="53" t="s">
        <v>18</v>
      </c>
      <c r="AA21" s="53" t="s">
        <v>18</v>
      </c>
      <c r="AB21" s="53" t="s">
        <v>165</v>
      </c>
      <c r="AC21" s="53" t="s">
        <v>165</v>
      </c>
      <c r="AD21" s="53" t="s">
        <v>164</v>
      </c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</row>
    <row r="22" spans="1:77" s="13" customFormat="1" ht="39.9" customHeight="1" x14ac:dyDescent="0.3">
      <c r="A22" s="25" t="s">
        <v>104</v>
      </c>
      <c r="B22" s="25"/>
      <c r="C22" s="23" t="e" cm="1">
        <f t="array" ref="C22">+_xlfn.XLOOKUP($A22,tab_projetos[nome_projeto],tab_projetos[[ganho_projetado]:[complexidade]])</f>
        <v>#N/A</v>
      </c>
      <c r="D22" s="24"/>
      <c r="E22" s="24"/>
      <c r="F22" s="24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 t="s">
        <v>191</v>
      </c>
      <c r="U22" s="53" t="s">
        <v>191</v>
      </c>
      <c r="V22" s="53" t="s">
        <v>191</v>
      </c>
      <c r="W22" s="53" t="s">
        <v>191</v>
      </c>
      <c r="X22" s="53" t="s">
        <v>191</v>
      </c>
      <c r="Y22" s="53"/>
      <c r="Z22" s="53"/>
      <c r="AA22" s="53"/>
      <c r="AB22" s="53"/>
      <c r="AC22" s="53" t="s">
        <v>16</v>
      </c>
      <c r="AD22" s="53" t="s">
        <v>15</v>
      </c>
      <c r="AE22" s="53" t="s">
        <v>15</v>
      </c>
      <c r="AF22" s="53" t="s">
        <v>15</v>
      </c>
      <c r="AG22" s="53" t="s">
        <v>14</v>
      </c>
      <c r="AH22" s="53" t="s">
        <v>13</v>
      </c>
      <c r="AI22" s="53" t="s">
        <v>13</v>
      </c>
      <c r="AJ22" s="53" t="s">
        <v>13</v>
      </c>
      <c r="AK22" s="53" t="s">
        <v>13</v>
      </c>
      <c r="AL22" s="53" t="s">
        <v>13</v>
      </c>
      <c r="AM22" s="53" t="s">
        <v>12</v>
      </c>
      <c r="AN22" s="53" t="s">
        <v>17</v>
      </c>
      <c r="AO22" s="53" t="s">
        <v>17</v>
      </c>
      <c r="AP22" s="53" t="s">
        <v>18</v>
      </c>
      <c r="AQ22" s="53" t="s">
        <v>18</v>
      </c>
      <c r="AR22" s="53" t="s">
        <v>165</v>
      </c>
      <c r="AS22" s="53" t="s">
        <v>165</v>
      </c>
      <c r="AT22" s="53" t="s">
        <v>164</v>
      </c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</row>
    <row r="23" spans="1:77" s="13" customFormat="1" ht="39.9" customHeight="1" x14ac:dyDescent="0.3">
      <c r="A23" s="25" t="s">
        <v>105</v>
      </c>
      <c r="B23" s="25"/>
      <c r="C23" s="23" cm="1">
        <f t="array" ref="C23:F23">+_xlfn.XLOOKUP($A23,tab_projetos[nome_projeto],tab_projetos[[ganho_projetado]:[complexidade]])</f>
        <v>3600000</v>
      </c>
      <c r="D23" s="24" t="str">
        <v>Evolução do Produto</v>
      </c>
      <c r="E23" s="24" t="str">
        <v>Evolução, Melhoria ou Adequação</v>
      </c>
      <c r="F23" s="24" t="str">
        <v>Muito Alta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 t="s">
        <v>191</v>
      </c>
      <c r="U23" s="53" t="s">
        <v>191</v>
      </c>
      <c r="V23" s="53" t="s">
        <v>191</v>
      </c>
      <c r="W23" s="53" t="s">
        <v>191</v>
      </c>
      <c r="X23" s="53" t="s">
        <v>191</v>
      </c>
      <c r="Y23" s="53"/>
      <c r="Z23" s="53"/>
      <c r="AA23" s="53"/>
      <c r="AB23" s="53"/>
      <c r="AC23" s="53"/>
      <c r="AD23" s="53"/>
      <c r="AE23" s="53" t="s">
        <v>16</v>
      </c>
      <c r="AF23" s="53" t="s">
        <v>15</v>
      </c>
      <c r="AG23" s="53" t="s">
        <v>15</v>
      </c>
      <c r="AH23" s="53" t="s">
        <v>15</v>
      </c>
      <c r="AI23" s="53" t="s">
        <v>15</v>
      </c>
      <c r="AJ23" s="53" t="s">
        <v>14</v>
      </c>
      <c r="AK23" s="53" t="s">
        <v>13</v>
      </c>
      <c r="AL23" s="53" t="s">
        <v>13</v>
      </c>
      <c r="AM23" s="53" t="s">
        <v>13</v>
      </c>
      <c r="AN23" s="53" t="s">
        <v>13</v>
      </c>
      <c r="AO23" s="53" t="s">
        <v>13</v>
      </c>
      <c r="AP23" s="53" t="s">
        <v>13</v>
      </c>
      <c r="AQ23" s="53" t="s">
        <v>13</v>
      </c>
      <c r="AR23" s="53" t="s">
        <v>13</v>
      </c>
      <c r="AS23" s="53" t="s">
        <v>13</v>
      </c>
      <c r="AT23" s="53" t="s">
        <v>13</v>
      </c>
      <c r="AU23" s="53" t="s">
        <v>13</v>
      </c>
      <c r="AV23" s="53" t="s">
        <v>13</v>
      </c>
      <c r="AW23" s="53" t="s">
        <v>13</v>
      </c>
      <c r="AX23" s="53" t="s">
        <v>13</v>
      </c>
      <c r="AY23" s="53" t="s">
        <v>13</v>
      </c>
      <c r="AZ23" s="53" t="s">
        <v>13</v>
      </c>
      <c r="BA23" s="53" t="s">
        <v>12</v>
      </c>
      <c r="BB23" s="53" t="s">
        <v>17</v>
      </c>
      <c r="BC23" s="53" t="s">
        <v>17</v>
      </c>
      <c r="BD23" s="53" t="s">
        <v>17</v>
      </c>
      <c r="BE23" s="53" t="s">
        <v>165</v>
      </c>
      <c r="BF23" s="53" t="s">
        <v>165</v>
      </c>
      <c r="BG23" s="53" t="s">
        <v>165</v>
      </c>
      <c r="BH23" s="53" t="s">
        <v>165</v>
      </c>
      <c r="BI23" s="53" t="s">
        <v>164</v>
      </c>
      <c r="BJ23" s="53"/>
      <c r="BK23" s="53"/>
      <c r="BL23" s="53"/>
      <c r="BM23" s="53"/>
      <c r="BN23" s="53"/>
      <c r="BO23" s="53"/>
      <c r="BP23" s="53"/>
      <c r="BQ23" s="53"/>
      <c r="BR23" s="53"/>
      <c r="BS23" s="53"/>
    </row>
    <row r="24" spans="1:77" s="13" customFormat="1" ht="39.9" customHeight="1" x14ac:dyDescent="0.3">
      <c r="A24" s="59" t="s">
        <v>186</v>
      </c>
      <c r="B24" s="25"/>
      <c r="C24" s="23" t="e" cm="1">
        <f t="array" ref="C24">+_xlfn.XLOOKUP($A24,tab_projetos[nome_projeto],tab_projetos[[ganho_projetado]:[complexidade]])</f>
        <v>#N/A</v>
      </c>
      <c r="D24" s="24"/>
      <c r="E24" s="24"/>
      <c r="F24" s="24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 t="s">
        <v>191</v>
      </c>
      <c r="U24" s="53" t="s">
        <v>191</v>
      </c>
      <c r="V24" s="53" t="s">
        <v>191</v>
      </c>
      <c r="W24" s="53" t="s">
        <v>191</v>
      </c>
      <c r="X24" s="53" t="s">
        <v>191</v>
      </c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 t="s">
        <v>16</v>
      </c>
      <c r="AK24" s="53" t="s">
        <v>15</v>
      </c>
      <c r="AL24" s="53" t="s">
        <v>14</v>
      </c>
      <c r="AM24" s="53" t="s">
        <v>13</v>
      </c>
      <c r="AN24" s="53" t="s">
        <v>13</v>
      </c>
      <c r="AO24" s="53" t="s">
        <v>13</v>
      </c>
      <c r="AP24" s="53" t="s">
        <v>13</v>
      </c>
      <c r="AQ24" s="53" t="s">
        <v>12</v>
      </c>
      <c r="AR24" s="53" t="s">
        <v>17</v>
      </c>
      <c r="AS24" s="53" t="s">
        <v>18</v>
      </c>
      <c r="AT24" s="53" t="s">
        <v>165</v>
      </c>
      <c r="AU24" s="53" t="s">
        <v>164</v>
      </c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</row>
    <row r="25" spans="1:77" s="13" customFormat="1" ht="39.9" customHeight="1" x14ac:dyDescent="0.3">
      <c r="A25" s="59" t="s">
        <v>187</v>
      </c>
      <c r="B25" s="25"/>
      <c r="C25" s="23" t="e" cm="1">
        <f t="array" ref="C25">+_xlfn.XLOOKUP($A25,tab_projetos[nome_projeto],tab_projetos[[ganho_projetado]:[complexidade]])</f>
        <v>#N/A</v>
      </c>
      <c r="D25" s="24"/>
      <c r="E25" s="24"/>
      <c r="F25" s="24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 t="s">
        <v>191</v>
      </c>
      <c r="U25" s="53" t="s">
        <v>191</v>
      </c>
      <c r="V25" s="53" t="s">
        <v>191</v>
      </c>
      <c r="W25" s="53" t="s">
        <v>191</v>
      </c>
      <c r="X25" s="53" t="s">
        <v>191</v>
      </c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 t="s">
        <v>16</v>
      </c>
      <c r="AV25" s="53" t="s">
        <v>15</v>
      </c>
      <c r="AW25" s="53" t="s">
        <v>15</v>
      </c>
      <c r="AX25" s="53" t="s">
        <v>15</v>
      </c>
      <c r="AY25" s="53" t="s">
        <v>14</v>
      </c>
      <c r="AZ25" s="53" t="s">
        <v>14</v>
      </c>
      <c r="BA25" s="53" t="s">
        <v>13</v>
      </c>
      <c r="BB25" s="53" t="s">
        <v>13</v>
      </c>
      <c r="BC25" s="53" t="s">
        <v>13</v>
      </c>
      <c r="BD25" s="53" t="s">
        <v>13</v>
      </c>
      <c r="BE25" s="53" t="s">
        <v>13</v>
      </c>
      <c r="BF25" s="53" t="s">
        <v>13</v>
      </c>
      <c r="BG25" s="53" t="s">
        <v>13</v>
      </c>
      <c r="BH25" s="53" t="s">
        <v>13</v>
      </c>
      <c r="BI25" s="53" t="s">
        <v>12</v>
      </c>
      <c r="BJ25" s="53" t="s">
        <v>17</v>
      </c>
      <c r="BK25" s="53" t="s">
        <v>17</v>
      </c>
      <c r="BL25" s="53" t="s">
        <v>18</v>
      </c>
      <c r="BM25" s="53" t="s">
        <v>18</v>
      </c>
      <c r="BN25" s="53" t="s">
        <v>165</v>
      </c>
      <c r="BO25" s="53" t="s">
        <v>165</v>
      </c>
      <c r="BP25" s="53" t="s">
        <v>164</v>
      </c>
      <c r="BQ25" s="53"/>
      <c r="BR25" s="53"/>
      <c r="BS25" s="53"/>
    </row>
    <row r="26" spans="1:77" s="13" customFormat="1" ht="39.9" customHeight="1" x14ac:dyDescent="0.3">
      <c r="A26" s="60" t="s">
        <v>188</v>
      </c>
      <c r="C26" s="11" t="e" cm="1">
        <f t="array" ref="C26">+_xlfn.XLOOKUP($A26,tab_projetos[nome_projeto],tab_projetos[[ganho_projetado]:[complexidade]])</f>
        <v>#N/A</v>
      </c>
      <c r="D26" s="12"/>
      <c r="E26" s="12"/>
      <c r="F26" s="12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 t="s">
        <v>191</v>
      </c>
      <c r="U26" s="46" t="s">
        <v>191</v>
      </c>
      <c r="V26" s="46" t="s">
        <v>191</v>
      </c>
      <c r="W26" s="46" t="s">
        <v>191</v>
      </c>
      <c r="X26" s="46" t="s">
        <v>191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 t="s">
        <v>16</v>
      </c>
      <c r="BE26" s="46" t="s">
        <v>15</v>
      </c>
      <c r="BF26" s="46" t="s">
        <v>15</v>
      </c>
      <c r="BG26" s="46" t="s">
        <v>15</v>
      </c>
      <c r="BH26" s="46" t="s">
        <v>14</v>
      </c>
      <c r="BI26" s="46" t="s">
        <v>14</v>
      </c>
      <c r="BJ26" s="46" t="s">
        <v>13</v>
      </c>
      <c r="BK26" s="46" t="s">
        <v>13</v>
      </c>
      <c r="BL26" s="46" t="s">
        <v>13</v>
      </c>
      <c r="BM26" s="46" t="s">
        <v>13</v>
      </c>
      <c r="BN26" s="46" t="s">
        <v>13</v>
      </c>
      <c r="BO26" s="46" t="s">
        <v>13</v>
      </c>
      <c r="BP26" s="46" t="s">
        <v>13</v>
      </c>
      <c r="BQ26" s="46" t="s">
        <v>13</v>
      </c>
      <c r="BR26" s="46" t="s">
        <v>12</v>
      </c>
      <c r="BS26" s="46" t="s">
        <v>17</v>
      </c>
      <c r="BT26" s="13" t="s">
        <v>17</v>
      </c>
      <c r="BU26" s="13" t="s">
        <v>18</v>
      </c>
      <c r="BV26" s="13" t="s">
        <v>18</v>
      </c>
      <c r="BW26" s="13" t="s">
        <v>165</v>
      </c>
      <c r="BX26" s="13" t="s">
        <v>165</v>
      </c>
      <c r="BY26" s="13" t="s">
        <v>164</v>
      </c>
    </row>
    <row r="27" spans="1:77" ht="30" customHeight="1" x14ac:dyDescent="0.4">
      <c r="A27" s="17" t="s">
        <v>55</v>
      </c>
      <c r="B27" s="18" t="str">
        <f>+_xlfn.XLOOKUP($A27,tab_recursos[nome_recurso],tab_recursos[foto_recurso],"")</f>
        <v/>
      </c>
      <c r="C27" s="19"/>
      <c r="D27" s="20"/>
      <c r="E27" s="20"/>
      <c r="F27" s="2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2"/>
      <c r="W27" s="52"/>
      <c r="X27" s="52"/>
      <c r="Y27" s="52"/>
      <c r="Z27" s="52"/>
      <c r="AA27" s="52"/>
      <c r="AB27" s="52"/>
      <c r="AC27" s="52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</row>
    <row r="28" spans="1:77" s="13" customFormat="1" ht="39.9" customHeight="1" x14ac:dyDescent="0.3">
      <c r="A28" s="25" t="s">
        <v>103</v>
      </c>
      <c r="B28" s="25"/>
      <c r="C28" s="23" t="e" cm="1">
        <f t="array" ref="C28">+_xlfn.XLOOKUP($A28,tab_projetos[nome_projeto],tab_projetos[[ganho_projetado]:[complexidade]])</f>
        <v>#N/A</v>
      </c>
      <c r="D28" s="24"/>
      <c r="E28" s="24"/>
      <c r="F28" s="24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 t="s">
        <v>13</v>
      </c>
      <c r="U28" s="53" t="s">
        <v>13</v>
      </c>
      <c r="V28" s="53" t="s">
        <v>13</v>
      </c>
      <c r="W28" s="53" t="s">
        <v>13</v>
      </c>
      <c r="X28" s="53" t="s">
        <v>12</v>
      </c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</row>
    <row r="29" spans="1:77" s="13" customFormat="1" ht="39.9" customHeight="1" x14ac:dyDescent="0.3">
      <c r="A29" s="25" t="s">
        <v>104</v>
      </c>
      <c r="B29" s="25"/>
      <c r="C29" s="23" t="e" cm="1">
        <f t="array" ref="C29">+_xlfn.XLOOKUP($A29,tab_projetos[nome_projeto],tab_projetos[[ganho_projetado]:[complexidade]])</f>
        <v>#N/A</v>
      </c>
      <c r="D29" s="24"/>
      <c r="E29" s="24"/>
      <c r="F29" s="24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</row>
    <row r="30" spans="1:77" s="13" customFormat="1" ht="39.9" customHeight="1" x14ac:dyDescent="0.3">
      <c r="A30" s="59" t="s">
        <v>186</v>
      </c>
      <c r="B30" s="25"/>
      <c r="C30" s="23" t="e" cm="1">
        <f t="array" ref="C30">+_xlfn.XLOOKUP($A30,tab_projetos[nome_projeto],tab_projetos[[ganho_projetado]:[complexidade]])</f>
        <v>#N/A</v>
      </c>
      <c r="D30" s="24"/>
      <c r="E30" s="24"/>
      <c r="F30" s="24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</row>
    <row r="31" spans="1:77" s="13" customFormat="1" ht="39.9" customHeight="1" x14ac:dyDescent="0.3">
      <c r="A31" s="59" t="s">
        <v>187</v>
      </c>
      <c r="B31" s="25"/>
      <c r="C31" s="23" t="e" cm="1">
        <f t="array" ref="C31">+_xlfn.XLOOKUP($A31,tab_projetos[nome_projeto],tab_projetos[[ganho_projetado]:[complexidade]])</f>
        <v>#N/A</v>
      </c>
      <c r="D31" s="24"/>
      <c r="E31" s="24"/>
      <c r="F31" s="24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</row>
    <row r="32" spans="1:77" s="13" customFormat="1" ht="39.9" customHeight="1" x14ac:dyDescent="0.3">
      <c r="A32" s="60" t="s">
        <v>188</v>
      </c>
      <c r="C32" s="11" t="e" cm="1">
        <f t="array" ref="C32">+_xlfn.XLOOKUP($A32,tab_projetos[nome_projeto],tab_projetos[[ganho_projetado]:[complexidade]])</f>
        <v>#N/A</v>
      </c>
      <c r="D32" s="12"/>
      <c r="E32" s="12"/>
      <c r="F32" s="12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</row>
    <row r="33" spans="1:71" ht="30" customHeight="1" x14ac:dyDescent="0.4">
      <c r="A33" s="17" t="s">
        <v>56</v>
      </c>
      <c r="B33" s="18" t="e" vm="2">
        <f>+_xlfn.XLOOKUP($A33,tab_recursos[nome_recurso],tab_recursos[foto_recurso],"")</f>
        <v>#VALUE!</v>
      </c>
      <c r="C33" s="19"/>
      <c r="D33" s="20"/>
      <c r="E33" s="20"/>
      <c r="F33" s="20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2"/>
      <c r="W33" s="52"/>
      <c r="X33" s="52"/>
      <c r="Y33" s="52"/>
      <c r="Z33" s="52"/>
      <c r="AA33" s="52"/>
      <c r="AB33" s="52"/>
      <c r="AC33" s="52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</row>
    <row r="34" spans="1:71" s="13" customFormat="1" ht="39.9" customHeight="1" x14ac:dyDescent="0.3">
      <c r="A34" s="25" t="s">
        <v>103</v>
      </c>
      <c r="B34" s="25"/>
      <c r="C34" s="23" t="e" cm="1">
        <f t="array" ref="C34">+_xlfn.XLOOKUP($A34,tab_projetos[nome_projeto],tab_projetos[[ganho_projetado]:[complexidade]])</f>
        <v>#N/A</v>
      </c>
      <c r="D34" s="24"/>
      <c r="E34" s="24"/>
      <c r="F34" s="24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</row>
    <row r="35" spans="1:71" s="13" customFormat="1" ht="39.9" customHeight="1" x14ac:dyDescent="0.3">
      <c r="A35" s="25" t="s">
        <v>102</v>
      </c>
      <c r="B35" s="25"/>
      <c r="C35" s="23" t="e" cm="1">
        <f t="array" ref="C35">+_xlfn.XLOOKUP($A35,tab_projetos[nome_projeto],tab_projetos[[ganho_projetado]:[complexidade]])</f>
        <v>#N/A</v>
      </c>
      <c r="D35" s="24"/>
      <c r="E35" s="24"/>
      <c r="F35" s="24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</row>
    <row r="36" spans="1:71" s="13" customFormat="1" ht="39.9" customHeight="1" x14ac:dyDescent="0.3">
      <c r="A36" s="25" t="s">
        <v>104</v>
      </c>
      <c r="B36" s="25"/>
      <c r="C36" s="23" t="e" cm="1">
        <f t="array" ref="C36">+_xlfn.XLOOKUP($A36,tab_projetos[nome_projeto],tab_projetos[[ganho_projetado]:[complexidade]])</f>
        <v>#N/A</v>
      </c>
      <c r="D36" s="24"/>
      <c r="E36" s="24"/>
      <c r="F36" s="24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</row>
    <row r="37" spans="1:71" s="13" customFormat="1" ht="39.9" customHeight="1" x14ac:dyDescent="0.3">
      <c r="A37" s="59" t="s">
        <v>105</v>
      </c>
      <c r="B37" s="25"/>
      <c r="C37" s="23" cm="1">
        <f t="array" ref="C37:F37">+_xlfn.XLOOKUP($A37,tab_projetos[nome_projeto],tab_projetos[[ganho_projetado]:[complexidade]])</f>
        <v>3600000</v>
      </c>
      <c r="D37" s="24" t="str">
        <v>Evolução do Produto</v>
      </c>
      <c r="E37" s="24" t="str">
        <v>Evolução, Melhoria ou Adequação</v>
      </c>
      <c r="F37" s="24" t="str">
        <v>Muito Alta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</row>
    <row r="38" spans="1:71" s="13" customFormat="1" ht="39.9" customHeight="1" x14ac:dyDescent="0.3">
      <c r="A38" s="59" t="s">
        <v>186</v>
      </c>
      <c r="B38" s="25"/>
      <c r="C38" s="23" t="e" cm="1">
        <f t="array" ref="C38">+_xlfn.XLOOKUP($A38,tab_projetos[nome_projeto],tab_projetos[[ganho_projetado]:[complexidade]])</f>
        <v>#N/A</v>
      </c>
      <c r="D38" s="24"/>
      <c r="E38" s="24"/>
      <c r="F38" s="24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</row>
    <row r="39" spans="1:71" s="13" customFormat="1" ht="39.9" customHeight="1" x14ac:dyDescent="0.3">
      <c r="A39" s="59" t="s">
        <v>187</v>
      </c>
      <c r="B39" s="25"/>
      <c r="C39" s="23" t="e" cm="1">
        <f t="array" ref="C39">+_xlfn.XLOOKUP($A39,tab_projetos[nome_projeto],tab_projetos[[ganho_projetado]:[complexidade]])</f>
        <v>#N/A</v>
      </c>
      <c r="D39" s="24"/>
      <c r="E39" s="24"/>
      <c r="F39" s="24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</row>
    <row r="40" spans="1:71" s="13" customFormat="1" ht="39.9" customHeight="1" x14ac:dyDescent="0.3">
      <c r="A40" s="60" t="s">
        <v>188</v>
      </c>
      <c r="C40" s="11" t="e" cm="1">
        <f t="array" ref="C40">+_xlfn.XLOOKUP($A40,tab_projetos[nome_projeto],tab_projetos[[ganho_projetado]:[complexidade]])</f>
        <v>#N/A</v>
      </c>
      <c r="D40" s="12"/>
      <c r="E40" s="12"/>
      <c r="F40" s="12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</row>
    <row r="41" spans="1:71" ht="30" customHeight="1" x14ac:dyDescent="0.4">
      <c r="A41" s="17" t="s">
        <v>57</v>
      </c>
      <c r="B41" s="18" t="e" vm="3">
        <f>+_xlfn.XLOOKUP($A41,tab_recursos[nome_recurso],tab_recursos[foto_recurso],"")</f>
        <v>#VALUE!</v>
      </c>
      <c r="C41" s="19"/>
      <c r="D41" s="20"/>
      <c r="E41" s="20"/>
      <c r="F41" s="20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2"/>
      <c r="W41" s="52"/>
      <c r="X41" s="52"/>
      <c r="Y41" s="52"/>
      <c r="Z41" s="52"/>
      <c r="AA41" s="52"/>
      <c r="AB41" s="52"/>
      <c r="AC41" s="52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</row>
    <row r="42" spans="1:71" s="13" customFormat="1" ht="39.9" customHeight="1" x14ac:dyDescent="0.3">
      <c r="A42" s="26" t="s">
        <v>102</v>
      </c>
      <c r="B42" s="26"/>
      <c r="C42" s="21" t="e" cm="1">
        <f t="array" ref="C42">+_xlfn.XLOOKUP($A42,tab_projetos[nome_projeto],tab_projetos[[ganho_projetado]:[complexidade]])</f>
        <v>#N/A</v>
      </c>
      <c r="D42" s="22"/>
      <c r="E42" s="22"/>
      <c r="F42" s="22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 t="s">
        <v>13</v>
      </c>
      <c r="U42" s="54" t="s">
        <v>13</v>
      </c>
      <c r="V42" s="54" t="s">
        <v>13</v>
      </c>
      <c r="W42" s="54" t="s">
        <v>12</v>
      </c>
      <c r="X42" s="54" t="s">
        <v>17</v>
      </c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</row>
    <row r="43" spans="1:71" s="13" customFormat="1" ht="39.9" customHeight="1" x14ac:dyDescent="0.3">
      <c r="A43" s="25" t="s">
        <v>105</v>
      </c>
      <c r="B43" s="25"/>
      <c r="C43" s="23"/>
      <c r="D43" s="24"/>
      <c r="E43" s="24"/>
      <c r="F43" s="24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</row>
  </sheetData>
  <conditionalFormatting sqref="G6:BS1010">
    <cfRule type="cellIs" dxfId="17" priority="1" operator="equal">
      <formula>"IN"</formula>
    </cfRule>
    <cfRule type="cellIs" dxfId="16" priority="2" operator="equal">
      <formula>"ES"</formula>
    </cfRule>
    <cfRule type="cellIs" dxfId="15" priority="3" operator="equal">
      <formula>"PL"</formula>
    </cfRule>
    <cfRule type="cellIs" dxfId="14" priority="4" operator="equal">
      <formula>"DE"</formula>
    </cfRule>
    <cfRule type="cellIs" dxfId="13" priority="5" operator="equal">
      <formula>"QA"</formula>
    </cfRule>
    <cfRule type="cellIs" dxfId="12" priority="6" operator="equal">
      <formula>"HO"</formula>
    </cfRule>
    <cfRule type="cellIs" dxfId="11" priority="7" operator="equal">
      <formula>"IM"</formula>
    </cfRule>
    <cfRule type="cellIs" dxfId="10" priority="8" operator="equal">
      <formula>"OA"</formula>
    </cfRule>
    <cfRule type="cellIs" dxfId="9" priority="9" operator="equal">
      <formula>"EN"</formula>
    </cfRule>
  </conditionalFormatting>
  <pageMargins left="0.25" right="0.25" top="0.75" bottom="0.75" header="0.3" footer="0.3"/>
  <pageSetup paperSize="8" scale="4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BDA7BF1-F079-4A8D-9766-F1B762357AA9}">
          <x14:formula1>
            <xm:f>tab_recursos!$B$2:$B$1000</xm:f>
          </x14:formula1>
          <xm:sqref>A19:B19 A27:B27 A33:B33 A41:B41</xm:sqref>
        </x14:dataValidation>
        <x14:dataValidation type="list" allowBlank="1" showInputMessage="1" showErrorMessage="1" xr:uid="{12F2ADBF-B141-4EB8-91AC-220DF196C293}">
          <x14:formula1>
            <xm:f>tab_etapas!$C$2:$C$1000</xm:f>
          </x14:formula1>
          <xm:sqref>G28:BS32 G42:BS44 G20:BS26 G34:BS40</xm:sqref>
        </x14:dataValidation>
        <x14:dataValidation type="list" allowBlank="1" showInputMessage="1" showErrorMessage="1" xr:uid="{D3090162-7AEC-46D2-A7AA-D3CD2089CDBA}">
          <x14:formula1>
            <xm:f>tab_projetos!$C$2:$C$992</xm:f>
          </x14:formula1>
          <xm:sqref>A28:A32 A34:A40 A20:B26 A42:A1015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2237-7488-491B-915F-018B21403CFE}">
  <sheetPr codeName="Planilha13">
    <outlinePr summaryBelow="0" summaryRight="0"/>
    <pageSetUpPr fitToPage="1"/>
  </sheetPr>
  <dimension ref="A2:BS43"/>
  <sheetViews>
    <sheetView showGridLines="0" zoomScale="55" zoomScaleNormal="55" workbookViewId="0">
      <selection activeCell="N20" sqref="N20:BS26"/>
    </sheetView>
  </sheetViews>
  <sheetFormatPr defaultColWidth="9.109375" defaultRowHeight="18" outlineLevelCol="1" x14ac:dyDescent="0.4"/>
  <cols>
    <col min="1" max="1" width="60.6640625" style="10" customWidth="1"/>
    <col min="2" max="2" width="6.6640625" style="10" customWidth="1" collapsed="1"/>
    <col min="3" max="3" width="25.6640625" style="11" hidden="1" customWidth="1" outlineLevel="1"/>
    <col min="4" max="4" width="25.6640625" style="12" hidden="1" customWidth="1" outlineLevel="1"/>
    <col min="5" max="5" width="40.6640625" style="12" hidden="1" customWidth="1" outlineLevel="1"/>
    <col min="6" max="6" width="25.6640625" style="12" hidden="1" customWidth="1" outlineLevel="1"/>
    <col min="7" max="71" width="6.33203125" style="12" customWidth="1"/>
    <col min="72" max="16384" width="9.109375" style="10"/>
  </cols>
  <sheetData>
    <row r="2" spans="1:71" s="33" customFormat="1" ht="21.6" x14ac:dyDescent="0.5">
      <c r="C2" s="34"/>
      <c r="D2" s="35"/>
      <c r="E2" s="35"/>
      <c r="F2" s="35"/>
      <c r="G2" s="36" t="s">
        <v>162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</row>
    <row r="3" spans="1:71" x14ac:dyDescent="0.4">
      <c r="G3" s="39" t="s">
        <v>142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  <c r="T3" s="39" t="s">
        <v>143</v>
      </c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1"/>
      <c r="AG3" s="39" t="s">
        <v>144</v>
      </c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1"/>
      <c r="AT3" s="39" t="s">
        <v>145</v>
      </c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1"/>
      <c r="BG3" s="39" t="s">
        <v>146</v>
      </c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1"/>
    </row>
    <row r="4" spans="1:71" x14ac:dyDescent="0.4">
      <c r="G4" s="39" t="s">
        <v>137</v>
      </c>
      <c r="H4" s="40"/>
      <c r="I4" s="40"/>
      <c r="J4" s="40"/>
      <c r="K4" s="41"/>
      <c r="L4" s="39" t="s">
        <v>138</v>
      </c>
      <c r="M4" s="40"/>
      <c r="N4" s="40"/>
      <c r="O4" s="41"/>
      <c r="P4" s="39" t="s">
        <v>139</v>
      </c>
      <c r="Q4" s="40"/>
      <c r="R4" s="40"/>
      <c r="S4" s="41"/>
      <c r="T4" s="39" t="s">
        <v>128</v>
      </c>
      <c r="U4" s="40"/>
      <c r="V4" s="40"/>
      <c r="W4" s="40"/>
      <c r="X4" s="41"/>
      <c r="Y4" s="39" t="s">
        <v>129</v>
      </c>
      <c r="Z4" s="40"/>
      <c r="AA4" s="40"/>
      <c r="AB4" s="41"/>
      <c r="AC4" s="39" t="s">
        <v>130</v>
      </c>
      <c r="AD4" s="40"/>
      <c r="AE4" s="40"/>
      <c r="AF4" s="41"/>
      <c r="AG4" s="39" t="s">
        <v>131</v>
      </c>
      <c r="AH4" s="40"/>
      <c r="AI4" s="40"/>
      <c r="AJ4" s="40"/>
      <c r="AK4" s="41"/>
      <c r="AL4" s="39" t="s">
        <v>132</v>
      </c>
      <c r="AM4" s="40"/>
      <c r="AN4" s="40"/>
      <c r="AO4" s="41"/>
      <c r="AP4" s="39" t="s">
        <v>133</v>
      </c>
      <c r="AQ4" s="40"/>
      <c r="AR4" s="40"/>
      <c r="AS4" s="41"/>
      <c r="AT4" s="39" t="s">
        <v>134</v>
      </c>
      <c r="AU4" s="40"/>
      <c r="AV4" s="40"/>
      <c r="AW4" s="40"/>
      <c r="AX4" s="41"/>
      <c r="AY4" s="39" t="s">
        <v>135</v>
      </c>
      <c r="AZ4" s="40"/>
      <c r="BA4" s="40"/>
      <c r="BB4" s="41"/>
      <c r="BC4" s="39" t="s">
        <v>136</v>
      </c>
      <c r="BD4" s="40"/>
      <c r="BE4" s="40"/>
      <c r="BF4" s="41"/>
      <c r="BG4" s="39" t="s">
        <v>137</v>
      </c>
      <c r="BH4" s="40"/>
      <c r="BI4" s="40"/>
      <c r="BJ4" s="40"/>
      <c r="BK4" s="41"/>
      <c r="BL4" s="39" t="s">
        <v>138</v>
      </c>
      <c r="BM4" s="40"/>
      <c r="BN4" s="40"/>
      <c r="BO4" s="41"/>
      <c r="BP4" s="39" t="s">
        <v>139</v>
      </c>
      <c r="BQ4" s="40"/>
      <c r="BR4" s="40"/>
      <c r="BS4" s="41"/>
    </row>
    <row r="5" spans="1:71" x14ac:dyDescent="0.4">
      <c r="A5" s="15" t="s">
        <v>119</v>
      </c>
      <c r="B5" s="15"/>
      <c r="C5" s="16" t="s">
        <v>158</v>
      </c>
      <c r="D5" s="14" t="s">
        <v>159</v>
      </c>
      <c r="E5" s="14" t="s">
        <v>160</v>
      </c>
      <c r="F5" s="14" t="s">
        <v>161</v>
      </c>
      <c r="G5" s="37">
        <v>40</v>
      </c>
      <c r="H5" s="12">
        <v>41</v>
      </c>
      <c r="I5" s="12">
        <v>42</v>
      </c>
      <c r="J5" s="12">
        <v>43</v>
      </c>
      <c r="K5" s="38">
        <v>44</v>
      </c>
      <c r="L5" s="37">
        <v>45</v>
      </c>
      <c r="M5" s="12">
        <v>46</v>
      </c>
      <c r="N5" s="12">
        <v>47</v>
      </c>
      <c r="O5" s="38">
        <v>48</v>
      </c>
      <c r="P5" s="37">
        <v>49</v>
      </c>
      <c r="Q5" s="12">
        <v>50</v>
      </c>
      <c r="R5" s="12">
        <v>51</v>
      </c>
      <c r="S5" s="38">
        <v>52</v>
      </c>
      <c r="T5" s="37">
        <v>1</v>
      </c>
      <c r="U5" s="12">
        <v>2</v>
      </c>
      <c r="V5" s="12">
        <v>3</v>
      </c>
      <c r="W5" s="12">
        <v>4</v>
      </c>
      <c r="X5" s="38">
        <v>5</v>
      </c>
      <c r="Y5" s="37">
        <v>6</v>
      </c>
      <c r="Z5" s="12">
        <v>7</v>
      </c>
      <c r="AA5" s="12">
        <v>8</v>
      </c>
      <c r="AB5" s="38">
        <v>9</v>
      </c>
      <c r="AC5" s="37">
        <v>10</v>
      </c>
      <c r="AD5" s="12">
        <v>11</v>
      </c>
      <c r="AE5" s="12">
        <v>12</v>
      </c>
      <c r="AF5" s="38">
        <v>13</v>
      </c>
      <c r="AG5" s="37">
        <v>14</v>
      </c>
      <c r="AH5" s="12">
        <v>15</v>
      </c>
      <c r="AI5" s="12">
        <v>16</v>
      </c>
      <c r="AJ5" s="12">
        <v>17</v>
      </c>
      <c r="AK5" s="38">
        <v>18</v>
      </c>
      <c r="AL5" s="37">
        <v>19</v>
      </c>
      <c r="AM5" s="12">
        <v>20</v>
      </c>
      <c r="AN5" s="12">
        <v>21</v>
      </c>
      <c r="AO5" s="38">
        <v>22</v>
      </c>
      <c r="AP5" s="37">
        <v>23</v>
      </c>
      <c r="AQ5" s="12">
        <v>24</v>
      </c>
      <c r="AR5" s="12">
        <v>25</v>
      </c>
      <c r="AS5" s="38">
        <v>26</v>
      </c>
      <c r="AT5" s="37">
        <v>27</v>
      </c>
      <c r="AU5" s="12">
        <v>28</v>
      </c>
      <c r="AV5" s="12">
        <v>29</v>
      </c>
      <c r="AW5" s="12">
        <v>30</v>
      </c>
      <c r="AX5" s="38">
        <v>31</v>
      </c>
      <c r="AY5" s="37">
        <v>32</v>
      </c>
      <c r="AZ5" s="12">
        <v>33</v>
      </c>
      <c r="BA5" s="12">
        <v>34</v>
      </c>
      <c r="BB5" s="38">
        <v>35</v>
      </c>
      <c r="BC5" s="37">
        <v>36</v>
      </c>
      <c r="BD5" s="12">
        <v>37</v>
      </c>
      <c r="BE5" s="12">
        <v>38</v>
      </c>
      <c r="BF5" s="38">
        <v>39</v>
      </c>
      <c r="BG5" s="37">
        <v>40</v>
      </c>
      <c r="BH5" s="12">
        <v>41</v>
      </c>
      <c r="BI5" s="12">
        <v>42</v>
      </c>
      <c r="BJ5" s="12">
        <v>43</v>
      </c>
      <c r="BK5" s="38">
        <v>44</v>
      </c>
      <c r="BL5" s="37">
        <v>45</v>
      </c>
      <c r="BM5" s="12">
        <v>46</v>
      </c>
      <c r="BN5" s="12">
        <v>47</v>
      </c>
      <c r="BO5" s="38">
        <v>48</v>
      </c>
      <c r="BP5" s="37">
        <v>49</v>
      </c>
      <c r="BQ5" s="12">
        <v>50</v>
      </c>
      <c r="BR5" s="12">
        <v>51</v>
      </c>
      <c r="BS5" s="38">
        <v>52</v>
      </c>
    </row>
    <row r="6" spans="1:71" s="13" customFormat="1" ht="39.9" customHeight="1" x14ac:dyDescent="0.3">
      <c r="A6" s="56" t="str" cm="1">
        <f t="array" ref="A6:A13">_xlfn._xlws.FILTER(_xlfn.CHOOSECOLS((_xlfn._xlws.SORT(tab_projetos[[nome_projeto]:[complexidade]],3,1)),1),(tab_projetos[nome_squad]="Echo BR"))</f>
        <v>SISTEMATIZACAO DO FRETE AVULSO (FRETE 2)</v>
      </c>
      <c r="B6" s="26"/>
      <c r="C6" s="21" cm="1">
        <f t="array" ref="C6:F13">_xlfn._xlws.FILTER(_xlfn.CHOOSECOLS((_xlfn._xlws.SORT(tab_projetos[[nome_projeto]:[complexidade]],3,1)),4,5,6,7),(tab_projetos[nome_squad]="Echo BR"))</f>
        <v>0</v>
      </c>
      <c r="D6" s="22" t="str">
        <v>Melhoria de Processo</v>
      </c>
      <c r="E6" s="22" t="str">
        <v>Evolução, Melhoria ou Adequação</v>
      </c>
      <c r="F6" s="22" t="str">
        <v>Alta</v>
      </c>
      <c r="G6" s="42" t="str" cm="1">
        <f t="array" ref="G6">+IFERROR(_xlfn.CONCAT(_xlfn.UNIQUE(_xlfn._xlws.FILTER(G$19:G$1010,(($A$19:$A$1010=$A6)*(G$19:G$1010&lt;&gt;0)*(G$19:G$1010&lt;&gt;"F"))))),"")</f>
        <v/>
      </c>
      <c r="H6" s="43" t="str" cm="1">
        <f t="array" ref="H6">+IFERROR(_xlfn.CONCAT(_xlfn.UNIQUE(_xlfn._xlws.FILTER(H$19:H$1010,(($A$19:$A$1010=$A6)*(H$19:H$1010&lt;&gt;0)*(H$19:H$1010&lt;&gt;"F"))))),"")</f>
        <v/>
      </c>
      <c r="I6" s="43" t="str" cm="1">
        <f t="array" ref="I6">+IFERROR(_xlfn.CONCAT(_xlfn.UNIQUE(_xlfn._xlws.FILTER(I$19:I$1010,(($A$19:$A$1010=$A6)*(I$19:I$1010&lt;&gt;0)*(I$19:I$1010&lt;&gt;"F"))))),"")</f>
        <v/>
      </c>
      <c r="J6" s="43" t="str" cm="1">
        <f t="array" ref="J6">+IFERROR(_xlfn.CONCAT(_xlfn.UNIQUE(_xlfn._xlws.FILTER(J$19:J$1010,(($A$19:$A$1010=$A6)*(J$19:J$1010&lt;&gt;0)*(J$19:J$1010&lt;&gt;"F"))))),"")</f>
        <v/>
      </c>
      <c r="K6" s="44" t="str" cm="1">
        <f t="array" ref="K6">+IFERROR(_xlfn.CONCAT(_xlfn.UNIQUE(_xlfn._xlws.FILTER(K$19:K$1010,(($A$19:$A$1010=$A6)*(K$19:K$1010&lt;&gt;0)*(K$19:K$1010&lt;&gt;"F"))))),"")</f>
        <v/>
      </c>
      <c r="L6" s="42" t="str" cm="1">
        <f t="array" ref="L6">+IFERROR(_xlfn.CONCAT(_xlfn.UNIQUE(_xlfn._xlws.FILTER(L$19:L$1010,(($A$19:$A$1010=$A6)*(L$19:L$1010&lt;&gt;0)*(L$19:L$1010&lt;&gt;"F"))))),"")</f>
        <v/>
      </c>
      <c r="M6" s="43" t="str" cm="1">
        <f t="array" ref="M6">+IFERROR(_xlfn.CONCAT(_xlfn.UNIQUE(_xlfn._xlws.FILTER(M$19:M$1010,(($A$19:$A$1010=$A6)*(M$19:M$1010&lt;&gt;0)*(M$19:M$1010&lt;&gt;"F"))))),"")</f>
        <v/>
      </c>
      <c r="N6" s="43" t="str" cm="1">
        <f t="array" ref="N6">+IFERROR(_xlfn.CONCAT(_xlfn.UNIQUE(_xlfn._xlws.FILTER(N$19:N$1010,(($A$19:$A$1010=$A6)*(N$19:N$1010&lt;&gt;0)*(N$19:N$1010&lt;&gt;"F"))))),"")</f>
        <v/>
      </c>
      <c r="O6" s="44" t="str" cm="1">
        <f t="array" ref="O6">+IFERROR(_xlfn.CONCAT(_xlfn.UNIQUE(_xlfn._xlws.FILTER(O$19:O$1010,(($A$19:$A$1010=$A6)*(O$19:O$1010&lt;&gt;0)*(O$19:O$1010&lt;&gt;"F"))))),"")</f>
        <v/>
      </c>
      <c r="P6" s="42" t="str" cm="1">
        <f t="array" ref="P6">+IFERROR(_xlfn.CONCAT(_xlfn.UNIQUE(_xlfn._xlws.FILTER(P$19:P$1010,(($A$19:$A$1010=$A6)*(P$19:P$1010&lt;&gt;0)*(P$19:P$1010&lt;&gt;"F"))))),"")</f>
        <v/>
      </c>
      <c r="Q6" s="43" t="str" cm="1">
        <f t="array" ref="Q6">+IFERROR(_xlfn.CONCAT(_xlfn.UNIQUE(_xlfn._xlws.FILTER(Q$19:Q$1010,(($A$19:$A$1010=$A6)*(Q$19:Q$1010&lt;&gt;0)*(Q$19:Q$1010&lt;&gt;"F"))))),"")</f>
        <v/>
      </c>
      <c r="R6" s="43" t="str" cm="1">
        <f t="array" ref="R6">+IFERROR(_xlfn.CONCAT(_xlfn.UNIQUE(_xlfn._xlws.FILTER(R$19:R$1010,(($A$19:$A$1010=$A6)*(R$19:R$1010&lt;&gt;0)*(R$19:R$1010&lt;&gt;"F"))))),"")</f>
        <v/>
      </c>
      <c r="S6" s="44" t="str" cm="1">
        <f t="array" ref="S6">+IFERROR(_xlfn.CONCAT(_xlfn.UNIQUE(_xlfn._xlws.FILTER(S$19:S$1010,(($A$19:$A$1010=$A6)*(S$19:S$1010&lt;&gt;0)*(S$19:S$1010&lt;&gt;"F"))))),"")</f>
        <v/>
      </c>
      <c r="T6" s="42" t="str" cm="1">
        <f t="array" ref="T6">+IFERROR(_xlfn.CONCAT(_xlfn.UNIQUE(_xlfn._xlws.FILTER(T$19:T$1010,(($A$19:$A$1010=$A6)*(T$19:T$1010&lt;&gt;0)*(T$19:T$1010&lt;&gt;"F"))))),"")</f>
        <v/>
      </c>
      <c r="U6" s="43" t="str" cm="1">
        <f t="array" ref="U6">+IFERROR(_xlfn.CONCAT(_xlfn.UNIQUE(_xlfn._xlws.FILTER(U$19:U$1010,(($A$19:$A$1010=$A6)*(U$19:U$1010&lt;&gt;0)*(U$19:U$1010&lt;&gt;"F"))))),"")</f>
        <v/>
      </c>
      <c r="V6" s="43" t="str" cm="1">
        <f t="array" ref="V6">+IFERROR(_xlfn.CONCAT(_xlfn.UNIQUE(_xlfn._xlws.FILTER(V$19:V$1010,(($A$19:$A$1010=$A6)*(V$19:V$1010&lt;&gt;0)*(V$19:V$1010&lt;&gt;"F"))))),"")</f>
        <v/>
      </c>
      <c r="W6" s="43" t="str" cm="1">
        <f t="array" ref="W6">+IFERROR(_xlfn.CONCAT(_xlfn.UNIQUE(_xlfn._xlws.FILTER(W$19:W$1010,(($A$19:$A$1010=$A6)*(W$19:W$1010&lt;&gt;0)*(W$19:W$1010&lt;&gt;"F"))))),"")</f>
        <v/>
      </c>
      <c r="X6" s="44" t="str" cm="1">
        <f t="array" ref="X6">+IFERROR(_xlfn.CONCAT(_xlfn.UNIQUE(_xlfn._xlws.FILTER(X$19:X$1010,(($A$19:$A$1010=$A6)*(X$19:X$1010&lt;&gt;0)*(X$19:X$1010&lt;&gt;"F"))))),"")</f>
        <v/>
      </c>
      <c r="Y6" s="42" t="str" cm="1">
        <f t="array" ref="Y6">+IFERROR(_xlfn.CONCAT(_xlfn.UNIQUE(_xlfn._xlws.FILTER(Y$19:Y$1010,(($A$19:$A$1010=$A6)*(Y$19:Y$1010&lt;&gt;0)*(Y$19:Y$1010&lt;&gt;"F"))))),"")</f>
        <v/>
      </c>
      <c r="Z6" s="43" t="str" cm="1">
        <f t="array" ref="Z6">+IFERROR(_xlfn.CONCAT(_xlfn.UNIQUE(_xlfn._xlws.FILTER(Z$19:Z$1010,(($A$19:$A$1010=$A6)*(Z$19:Z$1010&lt;&gt;0)*(Z$19:Z$1010&lt;&gt;"F"))))),"")</f>
        <v/>
      </c>
      <c r="AA6" s="43" t="str" cm="1">
        <f t="array" ref="AA6">+IFERROR(_xlfn.CONCAT(_xlfn.UNIQUE(_xlfn._xlws.FILTER(AA$19:AA$1010,(($A$19:$A$1010=$A6)*(AA$19:AA$1010&lt;&gt;0)*(AA$19:AA$1010&lt;&gt;"F"))))),"")</f>
        <v/>
      </c>
      <c r="AB6" s="44" t="str" cm="1">
        <f t="array" ref="AB6">+IFERROR(_xlfn.CONCAT(_xlfn.UNIQUE(_xlfn._xlws.FILTER(AB$19:AB$1010,(($A$19:$A$1010=$A6)*(AB$19:AB$1010&lt;&gt;0)*(AB$19:AB$1010&lt;&gt;"F"))))),"")</f>
        <v/>
      </c>
      <c r="AC6" s="42" t="str" cm="1">
        <f t="array" ref="AC6">+IFERROR(_xlfn.CONCAT(_xlfn.UNIQUE(_xlfn._xlws.FILTER(AC$19:AC$1010,(($A$19:$A$1010=$A6)*(AC$19:AC$1010&lt;&gt;0)*(AC$19:AC$1010&lt;&gt;"F"))))),"")</f>
        <v/>
      </c>
      <c r="AD6" s="43" t="str" cm="1">
        <f t="array" ref="AD6">+IFERROR(_xlfn.CONCAT(_xlfn.UNIQUE(_xlfn._xlws.FILTER(AD$19:AD$1010,(($A$19:$A$1010=$A6)*(AD$19:AD$1010&lt;&gt;0)*(AD$19:AD$1010&lt;&gt;"F"))))),"")</f>
        <v/>
      </c>
      <c r="AE6" s="43" t="str" cm="1">
        <f t="array" ref="AE6">+IFERROR(_xlfn.CONCAT(_xlfn.UNIQUE(_xlfn._xlws.FILTER(AE$19:AE$1010,(($A$19:$A$1010=$A6)*(AE$19:AE$1010&lt;&gt;0)*(AE$19:AE$1010&lt;&gt;"F"))))),"")</f>
        <v/>
      </c>
      <c r="AF6" s="44" t="str" cm="1">
        <f t="array" ref="AF6">+IFERROR(_xlfn.CONCAT(_xlfn.UNIQUE(_xlfn._xlws.FILTER(AF$19:AF$1010,(($A$19:$A$1010=$A6)*(AF$19:AF$1010&lt;&gt;0)*(AF$19:AF$1010&lt;&gt;"F"))))),"")</f>
        <v/>
      </c>
      <c r="AG6" s="42" t="str" cm="1">
        <f t="array" ref="AG6">+IFERROR(_xlfn.CONCAT(_xlfn.UNIQUE(_xlfn._xlws.FILTER(AG$19:AG$1010,(($A$19:$A$1010=$A6)*(AG$19:AG$1010&lt;&gt;0)*(AG$19:AG$1010&lt;&gt;"F"))))),"")</f>
        <v/>
      </c>
      <c r="AH6" s="43" t="str" cm="1">
        <f t="array" ref="AH6">+IFERROR(_xlfn.CONCAT(_xlfn.UNIQUE(_xlfn._xlws.FILTER(AH$19:AH$1010,(($A$19:$A$1010=$A6)*(AH$19:AH$1010&lt;&gt;0)*(AH$19:AH$1010&lt;&gt;"F"))))),"")</f>
        <v/>
      </c>
      <c r="AI6" s="43" t="str" cm="1">
        <f t="array" ref="AI6">+IFERROR(_xlfn.CONCAT(_xlfn.UNIQUE(_xlfn._xlws.FILTER(AI$19:AI$1010,(($A$19:$A$1010=$A6)*(AI$19:AI$1010&lt;&gt;0)*(AI$19:AI$1010&lt;&gt;"F"))))),"")</f>
        <v/>
      </c>
      <c r="AJ6" s="43" t="str" cm="1">
        <f t="array" ref="AJ6">+IFERROR(_xlfn.CONCAT(_xlfn.UNIQUE(_xlfn._xlws.FILTER(AJ$19:AJ$1010,(($A$19:$A$1010=$A6)*(AJ$19:AJ$1010&lt;&gt;0)*(AJ$19:AJ$1010&lt;&gt;"F"))))),"")</f>
        <v/>
      </c>
      <c r="AK6" s="44" t="str" cm="1">
        <f t="array" ref="AK6">+IFERROR(_xlfn.CONCAT(_xlfn.UNIQUE(_xlfn._xlws.FILTER(AK$19:AK$1010,(($A$19:$A$1010=$A6)*(AK$19:AK$1010&lt;&gt;0)*(AK$19:AK$1010&lt;&gt;"F"))))),"")</f>
        <v/>
      </c>
      <c r="AL6" s="42" t="str" cm="1">
        <f t="array" ref="AL6">+IFERROR(_xlfn.CONCAT(_xlfn.UNIQUE(_xlfn._xlws.FILTER(AL$19:AL$1010,(($A$19:$A$1010=$A6)*(AL$19:AL$1010&lt;&gt;0)*(AL$19:AL$1010&lt;&gt;"F"))))),"")</f>
        <v/>
      </c>
      <c r="AM6" s="43" t="str" cm="1">
        <f t="array" ref="AM6">+IFERROR(_xlfn.CONCAT(_xlfn.UNIQUE(_xlfn._xlws.FILTER(AM$19:AM$1010,(($A$19:$A$1010=$A6)*(AM$19:AM$1010&lt;&gt;0)*(AM$19:AM$1010&lt;&gt;"F"))))),"")</f>
        <v/>
      </c>
      <c r="AN6" s="43" t="str" cm="1">
        <f t="array" ref="AN6">+IFERROR(_xlfn.CONCAT(_xlfn.UNIQUE(_xlfn._xlws.FILTER(AN$19:AN$1010,(($A$19:$A$1010=$A6)*(AN$19:AN$1010&lt;&gt;0)*(AN$19:AN$1010&lt;&gt;"F"))))),"")</f>
        <v/>
      </c>
      <c r="AO6" s="44" t="str" cm="1">
        <f t="array" ref="AO6">+IFERROR(_xlfn.CONCAT(_xlfn.UNIQUE(_xlfn._xlws.FILTER(AO$19:AO$1010,(($A$19:$A$1010=$A6)*(AO$19:AO$1010&lt;&gt;0)*(AO$19:AO$1010&lt;&gt;"F"))))),"")</f>
        <v/>
      </c>
      <c r="AP6" s="42" t="str" cm="1">
        <f t="array" ref="AP6">+IFERROR(_xlfn.CONCAT(_xlfn.UNIQUE(_xlfn._xlws.FILTER(AP$19:AP$1010,(($A$19:$A$1010=$A6)*(AP$19:AP$1010&lt;&gt;0)*(AP$19:AP$1010&lt;&gt;"F"))))),"")</f>
        <v/>
      </c>
      <c r="AQ6" s="43" t="str" cm="1">
        <f t="array" ref="AQ6">+IFERROR(_xlfn.CONCAT(_xlfn.UNIQUE(_xlfn._xlws.FILTER(AQ$19:AQ$1010,(($A$19:$A$1010=$A6)*(AQ$19:AQ$1010&lt;&gt;0)*(AQ$19:AQ$1010&lt;&gt;"F"))))),"")</f>
        <v/>
      </c>
      <c r="AR6" s="43" t="str" cm="1">
        <f t="array" ref="AR6">+IFERROR(_xlfn.CONCAT(_xlfn.UNIQUE(_xlfn._xlws.FILTER(AR$19:AR$1010,(($A$19:$A$1010=$A6)*(AR$19:AR$1010&lt;&gt;0)*(AR$19:AR$1010&lt;&gt;"F"))))),"")</f>
        <v/>
      </c>
      <c r="AS6" s="44" t="str" cm="1">
        <f t="array" ref="AS6">+IFERROR(_xlfn.CONCAT(_xlfn.UNIQUE(_xlfn._xlws.FILTER(AS$19:AS$1010,(($A$19:$A$1010=$A6)*(AS$19:AS$1010&lt;&gt;0)*(AS$19:AS$1010&lt;&gt;"F"))))),"")</f>
        <v/>
      </c>
      <c r="AT6" s="42" t="str" cm="1">
        <f t="array" ref="AT6">+IFERROR(_xlfn.CONCAT(_xlfn.UNIQUE(_xlfn._xlws.FILTER(AT$19:AT$1010,(($A$19:$A$1010=$A6)*(AT$19:AT$1010&lt;&gt;0)*(AT$19:AT$1010&lt;&gt;"F"))))),"")</f>
        <v/>
      </c>
      <c r="AU6" s="43" t="str" cm="1">
        <f t="array" ref="AU6">+IFERROR(_xlfn.CONCAT(_xlfn.UNIQUE(_xlfn._xlws.FILTER(AU$19:AU$1010,(($A$19:$A$1010=$A6)*(AU$19:AU$1010&lt;&gt;0)*(AU$19:AU$1010&lt;&gt;"F"))))),"")</f>
        <v/>
      </c>
      <c r="AV6" s="43" t="str" cm="1">
        <f t="array" ref="AV6">+IFERROR(_xlfn.CONCAT(_xlfn.UNIQUE(_xlfn._xlws.FILTER(AV$19:AV$1010,(($A$19:$A$1010=$A6)*(AV$19:AV$1010&lt;&gt;0)*(AV$19:AV$1010&lt;&gt;"F"))))),"")</f>
        <v/>
      </c>
      <c r="AW6" s="43" t="str" cm="1">
        <f t="array" ref="AW6">+IFERROR(_xlfn.CONCAT(_xlfn.UNIQUE(_xlfn._xlws.FILTER(AW$19:AW$1010,(($A$19:$A$1010=$A6)*(AW$19:AW$1010&lt;&gt;0)*(AW$19:AW$1010&lt;&gt;"F"))))),"")</f>
        <v/>
      </c>
      <c r="AX6" s="44" t="str" cm="1">
        <f t="array" ref="AX6">+IFERROR(_xlfn.CONCAT(_xlfn.UNIQUE(_xlfn._xlws.FILTER(AX$19:AX$1010,(($A$19:$A$1010=$A6)*(AX$19:AX$1010&lt;&gt;0)*(AX$19:AX$1010&lt;&gt;"F"))))),"")</f>
        <v/>
      </c>
      <c r="AY6" s="42" t="str" cm="1">
        <f t="array" ref="AY6">+IFERROR(_xlfn.CONCAT(_xlfn.UNIQUE(_xlfn._xlws.FILTER(AY$19:AY$1010,(($A$19:$A$1010=$A6)*(AY$19:AY$1010&lt;&gt;0)*(AY$19:AY$1010&lt;&gt;"F"))))),"")</f>
        <v/>
      </c>
      <c r="AZ6" s="43" t="str" cm="1">
        <f t="array" ref="AZ6">+IFERROR(_xlfn.CONCAT(_xlfn.UNIQUE(_xlfn._xlws.FILTER(AZ$19:AZ$1010,(($A$19:$A$1010=$A6)*(AZ$19:AZ$1010&lt;&gt;0)*(AZ$19:AZ$1010&lt;&gt;"F"))))),"")</f>
        <v/>
      </c>
      <c r="BA6" s="43" t="str" cm="1">
        <f t="array" ref="BA6">+IFERROR(_xlfn.CONCAT(_xlfn.UNIQUE(_xlfn._xlws.FILTER(BA$19:BA$1010,(($A$19:$A$1010=$A6)*(BA$19:BA$1010&lt;&gt;0)*(BA$19:BA$1010&lt;&gt;"F"))))),"")</f>
        <v/>
      </c>
      <c r="BB6" s="44" t="str" cm="1">
        <f t="array" ref="BB6">+IFERROR(_xlfn.CONCAT(_xlfn.UNIQUE(_xlfn._xlws.FILTER(BB$19:BB$1010,(($A$19:$A$1010=$A6)*(BB$19:BB$1010&lt;&gt;0)*(BB$19:BB$1010&lt;&gt;"F"))))),"")</f>
        <v/>
      </c>
      <c r="BC6" s="42" t="str" cm="1">
        <f t="array" ref="BC6">+IFERROR(_xlfn.CONCAT(_xlfn.UNIQUE(_xlfn._xlws.FILTER(BC$19:BC$1010,(($A$19:$A$1010=$A6)*(BC$19:BC$1010&lt;&gt;0)*(BC$19:BC$1010&lt;&gt;"F"))))),"")</f>
        <v/>
      </c>
      <c r="BD6" s="43" t="str" cm="1">
        <f t="array" ref="BD6">+IFERROR(_xlfn.CONCAT(_xlfn.UNIQUE(_xlfn._xlws.FILTER(BD$19:BD$1010,(($A$19:$A$1010=$A6)*(BD$19:BD$1010&lt;&gt;0)*(BD$19:BD$1010&lt;&gt;"F"))))),"")</f>
        <v/>
      </c>
      <c r="BE6" s="43" t="str" cm="1">
        <f t="array" ref="BE6">+IFERROR(_xlfn.CONCAT(_xlfn.UNIQUE(_xlfn._xlws.FILTER(BE$19:BE$1010,(($A$19:$A$1010=$A6)*(BE$19:BE$1010&lt;&gt;0)*(BE$19:BE$1010&lt;&gt;"F"))))),"")</f>
        <v/>
      </c>
      <c r="BF6" s="44" t="str" cm="1">
        <f t="array" ref="BF6">+IFERROR(_xlfn.CONCAT(_xlfn.UNIQUE(_xlfn._xlws.FILTER(BF$19:BF$1010,(($A$19:$A$1010=$A6)*(BF$19:BF$1010&lt;&gt;0)*(BF$19:BF$1010&lt;&gt;"F"))))),"")</f>
        <v/>
      </c>
      <c r="BG6" s="42" t="str" cm="1">
        <f t="array" ref="BG6">+IFERROR(_xlfn.CONCAT(_xlfn.UNIQUE(_xlfn._xlws.FILTER(BG$19:BG$1010,(($A$19:$A$1010=$A6)*(BG$19:BG$1010&lt;&gt;0)*(BG$19:BG$1010&lt;&gt;"F"))))),"")</f>
        <v/>
      </c>
      <c r="BH6" s="43" t="str" cm="1">
        <f t="array" ref="BH6">+IFERROR(_xlfn.CONCAT(_xlfn.UNIQUE(_xlfn._xlws.FILTER(BH$19:BH$1010,(($A$19:$A$1010=$A6)*(BH$19:BH$1010&lt;&gt;0)*(BH$19:BH$1010&lt;&gt;"F"))))),"")</f>
        <v/>
      </c>
      <c r="BI6" s="43" t="str" cm="1">
        <f t="array" ref="BI6">+IFERROR(_xlfn.CONCAT(_xlfn.UNIQUE(_xlfn._xlws.FILTER(BI$19:BI$1010,(($A$19:$A$1010=$A6)*(BI$19:BI$1010&lt;&gt;0)*(BI$19:BI$1010&lt;&gt;"F"))))),"")</f>
        <v/>
      </c>
      <c r="BJ6" s="43" t="str" cm="1">
        <f t="array" ref="BJ6">+IFERROR(_xlfn.CONCAT(_xlfn.UNIQUE(_xlfn._xlws.FILTER(BJ$19:BJ$1010,(($A$19:$A$1010=$A6)*(BJ$19:BJ$1010&lt;&gt;0)*(BJ$19:BJ$1010&lt;&gt;"F"))))),"")</f>
        <v/>
      </c>
      <c r="BK6" s="44" t="str" cm="1">
        <f t="array" ref="BK6">+IFERROR(_xlfn.CONCAT(_xlfn.UNIQUE(_xlfn._xlws.FILTER(BK$19:BK$1010,(($A$19:$A$1010=$A6)*(BK$19:BK$1010&lt;&gt;0)*(BK$19:BK$1010&lt;&gt;"F"))))),"")</f>
        <v/>
      </c>
      <c r="BL6" s="42" t="str" cm="1">
        <f t="array" ref="BL6">+IFERROR(_xlfn.CONCAT(_xlfn.UNIQUE(_xlfn._xlws.FILTER(BL$19:BL$1010,(($A$19:$A$1010=$A6)*(BL$19:BL$1010&lt;&gt;0)*(BL$19:BL$1010&lt;&gt;"F"))))),"")</f>
        <v/>
      </c>
      <c r="BM6" s="43" t="str" cm="1">
        <f t="array" ref="BM6">+IFERROR(_xlfn.CONCAT(_xlfn.UNIQUE(_xlfn._xlws.FILTER(BM$19:BM$1010,(($A$19:$A$1010=$A6)*(BM$19:BM$1010&lt;&gt;0)*(BM$19:BM$1010&lt;&gt;"F"))))),"")</f>
        <v/>
      </c>
      <c r="BN6" s="43" t="str" cm="1">
        <f t="array" ref="BN6">+IFERROR(_xlfn.CONCAT(_xlfn.UNIQUE(_xlfn._xlws.FILTER(BN$19:BN$1010,(($A$19:$A$1010=$A6)*(BN$19:BN$1010&lt;&gt;0)*(BN$19:BN$1010&lt;&gt;"F"))))),"")</f>
        <v/>
      </c>
      <c r="BO6" s="44" t="str" cm="1">
        <f t="array" ref="BO6">+IFERROR(_xlfn.CONCAT(_xlfn.UNIQUE(_xlfn._xlws.FILTER(BO$19:BO$1010,(($A$19:$A$1010=$A6)*(BO$19:BO$1010&lt;&gt;0)*(BO$19:BO$1010&lt;&gt;"F"))))),"")</f>
        <v/>
      </c>
      <c r="BP6" s="42" t="str" cm="1">
        <f t="array" ref="BP6">+IFERROR(_xlfn.CONCAT(_xlfn.UNIQUE(_xlfn._xlws.FILTER(BP$19:BP$1010,(($A$19:$A$1010=$A6)*(BP$19:BP$1010&lt;&gt;0)*(BP$19:BP$1010&lt;&gt;"F"))))),"")</f>
        <v/>
      </c>
      <c r="BQ6" s="43" t="str" cm="1">
        <f t="array" ref="BQ6">+IFERROR(_xlfn.CONCAT(_xlfn.UNIQUE(_xlfn._xlws.FILTER(BQ$19:BQ$1010,(($A$19:$A$1010=$A6)*(BQ$19:BQ$1010&lt;&gt;0)*(BQ$19:BQ$1010&lt;&gt;"F"))))),"")</f>
        <v/>
      </c>
      <c r="BR6" s="43" t="str" cm="1">
        <f t="array" ref="BR6">+IFERROR(_xlfn.CONCAT(_xlfn.UNIQUE(_xlfn._xlws.FILTER(BR$19:BR$1010,(($A$19:$A$1010=$A6)*(BR$19:BR$1010&lt;&gt;0)*(BR$19:BR$1010&lt;&gt;"F"))))),"")</f>
        <v/>
      </c>
      <c r="BS6" s="44" t="str" cm="1">
        <f t="array" ref="BS6">+IFERROR(_xlfn.CONCAT(_xlfn.UNIQUE(_xlfn._xlws.FILTER(BS$19:BS$1010,(($A$19:$A$1010=$A6)*(BS$19:BS$1010&lt;&gt;0)*(BS$19:BS$1010&lt;&gt;"F"))))),"")</f>
        <v/>
      </c>
    </row>
    <row r="7" spans="1:71" s="13" customFormat="1" ht="39.9" customHeight="1" x14ac:dyDescent="0.3">
      <c r="A7" s="57" t="str">
        <v>OCORRENCIAS POSTERGADAS</v>
      </c>
      <c r="B7" s="27"/>
      <c r="C7" s="28">
        <v>0</v>
      </c>
      <c r="D7" s="29" t="str">
        <v>Melhoria de Processo</v>
      </c>
      <c r="E7" s="29" t="str">
        <v>Evolução, Melhoria ou Adequação</v>
      </c>
      <c r="F7" s="29" t="str">
        <v>Alta</v>
      </c>
      <c r="G7" s="45" t="str" cm="1">
        <f t="array" ref="G7">+IFERROR(_xlfn.CONCAT(_xlfn.UNIQUE(_xlfn._xlws.FILTER(G$19:G$1010,(($A$19:$A$1010=$A7)*(G$19:G$1010&lt;&gt;0)*(G$19:G$1010&lt;&gt;"F"))))),"")</f>
        <v/>
      </c>
      <c r="H7" s="46" t="str" cm="1">
        <f t="array" ref="H7">+IFERROR(_xlfn.CONCAT(_xlfn.UNIQUE(_xlfn._xlws.FILTER(H$19:H$1010,(($A$19:$A$1010=$A7)*(H$19:H$1010&lt;&gt;0)*(H$19:H$1010&lt;&gt;"F"))))),"")</f>
        <v/>
      </c>
      <c r="I7" s="46" t="str" cm="1">
        <f t="array" ref="I7">+IFERROR(_xlfn.CONCAT(_xlfn.UNIQUE(_xlfn._xlws.FILTER(I$19:I$1010,(($A$19:$A$1010=$A7)*(I$19:I$1010&lt;&gt;0)*(I$19:I$1010&lt;&gt;"F"))))),"")</f>
        <v/>
      </c>
      <c r="J7" s="46" t="str" cm="1">
        <f t="array" ref="J7">+IFERROR(_xlfn.CONCAT(_xlfn.UNIQUE(_xlfn._xlws.FILTER(J$19:J$1010,(($A$19:$A$1010=$A7)*(J$19:J$1010&lt;&gt;0)*(J$19:J$1010&lt;&gt;"F"))))),"")</f>
        <v/>
      </c>
      <c r="K7" s="47" t="str" cm="1">
        <f t="array" ref="K7">+IFERROR(_xlfn.CONCAT(_xlfn.UNIQUE(_xlfn._xlws.FILTER(K$19:K$1010,(($A$19:$A$1010=$A7)*(K$19:K$1010&lt;&gt;0)*(K$19:K$1010&lt;&gt;"F"))))),"")</f>
        <v/>
      </c>
      <c r="L7" s="45" t="str" cm="1">
        <f t="array" ref="L7">+IFERROR(_xlfn.CONCAT(_xlfn.UNIQUE(_xlfn._xlws.FILTER(L$19:L$1010,(($A$19:$A$1010=$A7)*(L$19:L$1010&lt;&gt;0)*(L$19:L$1010&lt;&gt;"F"))))),"")</f>
        <v/>
      </c>
      <c r="M7" s="46" t="str" cm="1">
        <f t="array" ref="M7">+IFERROR(_xlfn.CONCAT(_xlfn.UNIQUE(_xlfn._xlws.FILTER(M$19:M$1010,(($A$19:$A$1010=$A7)*(M$19:M$1010&lt;&gt;0)*(M$19:M$1010&lt;&gt;"F"))))),"")</f>
        <v/>
      </c>
      <c r="N7" s="46" t="str" cm="1">
        <f t="array" ref="N7">+IFERROR(_xlfn.CONCAT(_xlfn.UNIQUE(_xlfn._xlws.FILTER(N$19:N$1010,(($A$19:$A$1010=$A7)*(N$19:N$1010&lt;&gt;0)*(N$19:N$1010&lt;&gt;"F"))))),"")</f>
        <v/>
      </c>
      <c r="O7" s="47" t="str" cm="1">
        <f t="array" ref="O7">+IFERROR(_xlfn.CONCAT(_xlfn.UNIQUE(_xlfn._xlws.FILTER(O$19:O$1010,(($A$19:$A$1010=$A7)*(O$19:O$1010&lt;&gt;0)*(O$19:O$1010&lt;&gt;"F"))))),"")</f>
        <v/>
      </c>
      <c r="P7" s="45" t="str" cm="1">
        <f t="array" ref="P7">+IFERROR(_xlfn.CONCAT(_xlfn.UNIQUE(_xlfn._xlws.FILTER(P$19:P$1010,(($A$19:$A$1010=$A7)*(P$19:P$1010&lt;&gt;0)*(P$19:P$1010&lt;&gt;"F"))))),"")</f>
        <v/>
      </c>
      <c r="Q7" s="46" t="str" cm="1">
        <f t="array" ref="Q7">+IFERROR(_xlfn.CONCAT(_xlfn.UNIQUE(_xlfn._xlws.FILTER(Q$19:Q$1010,(($A$19:$A$1010=$A7)*(Q$19:Q$1010&lt;&gt;0)*(Q$19:Q$1010&lt;&gt;"F"))))),"")</f>
        <v/>
      </c>
      <c r="R7" s="46" t="str" cm="1">
        <f t="array" ref="R7">+IFERROR(_xlfn.CONCAT(_xlfn.UNIQUE(_xlfn._xlws.FILTER(R$19:R$1010,(($A$19:$A$1010=$A7)*(R$19:R$1010&lt;&gt;0)*(R$19:R$1010&lt;&gt;"F"))))),"")</f>
        <v/>
      </c>
      <c r="S7" s="47" t="str" cm="1">
        <f t="array" ref="S7">+IFERROR(_xlfn.CONCAT(_xlfn.UNIQUE(_xlfn._xlws.FILTER(S$19:S$1010,(($A$19:$A$1010=$A7)*(S$19:S$1010&lt;&gt;0)*(S$19:S$1010&lt;&gt;"F"))))),"")</f>
        <v/>
      </c>
      <c r="T7" s="45" t="str" cm="1">
        <f t="array" ref="T7">+IFERROR(_xlfn.CONCAT(_xlfn.UNIQUE(_xlfn._xlws.FILTER(T$19:T$1010,(($A$19:$A$1010=$A7)*(T$19:T$1010&lt;&gt;0)*(T$19:T$1010&lt;&gt;"F"))))),"")</f>
        <v/>
      </c>
      <c r="U7" s="46" t="str" cm="1">
        <f t="array" ref="U7">+IFERROR(_xlfn.CONCAT(_xlfn.UNIQUE(_xlfn._xlws.FILTER(U$19:U$1010,(($A$19:$A$1010=$A7)*(U$19:U$1010&lt;&gt;0)*(U$19:U$1010&lt;&gt;"F"))))),"")</f>
        <v/>
      </c>
      <c r="V7" s="46" t="str" cm="1">
        <f t="array" ref="V7">+IFERROR(_xlfn.CONCAT(_xlfn.UNIQUE(_xlfn._xlws.FILTER(V$19:V$1010,(($A$19:$A$1010=$A7)*(V$19:V$1010&lt;&gt;0)*(V$19:V$1010&lt;&gt;"F"))))),"")</f>
        <v/>
      </c>
      <c r="W7" s="46" t="str" cm="1">
        <f t="array" ref="W7">+IFERROR(_xlfn.CONCAT(_xlfn.UNIQUE(_xlfn._xlws.FILTER(W$19:W$1010,(($A$19:$A$1010=$A7)*(W$19:W$1010&lt;&gt;0)*(W$19:W$1010&lt;&gt;"F"))))),"")</f>
        <v/>
      </c>
      <c r="X7" s="47" t="str" cm="1">
        <f t="array" ref="X7">+IFERROR(_xlfn.CONCAT(_xlfn.UNIQUE(_xlfn._xlws.FILTER(X$19:X$1010,(($A$19:$A$1010=$A7)*(X$19:X$1010&lt;&gt;0)*(X$19:X$1010&lt;&gt;"F"))))),"")</f>
        <v/>
      </c>
      <c r="Y7" s="45" t="str" cm="1">
        <f t="array" ref="Y7">+IFERROR(_xlfn.CONCAT(_xlfn.UNIQUE(_xlfn._xlws.FILTER(Y$19:Y$1010,(($A$19:$A$1010=$A7)*(Y$19:Y$1010&lt;&gt;0)*(Y$19:Y$1010&lt;&gt;"F"))))),"")</f>
        <v/>
      </c>
      <c r="Z7" s="46" t="str" cm="1">
        <f t="array" ref="Z7">+IFERROR(_xlfn.CONCAT(_xlfn.UNIQUE(_xlfn._xlws.FILTER(Z$19:Z$1010,(($A$19:$A$1010=$A7)*(Z$19:Z$1010&lt;&gt;0)*(Z$19:Z$1010&lt;&gt;"F"))))),"")</f>
        <v/>
      </c>
      <c r="AA7" s="46" t="str" cm="1">
        <f t="array" ref="AA7">+IFERROR(_xlfn.CONCAT(_xlfn.UNIQUE(_xlfn._xlws.FILTER(AA$19:AA$1010,(($A$19:$A$1010=$A7)*(AA$19:AA$1010&lt;&gt;0)*(AA$19:AA$1010&lt;&gt;"F"))))),"")</f>
        <v/>
      </c>
      <c r="AB7" s="47" t="str" cm="1">
        <f t="array" ref="AB7">+IFERROR(_xlfn.CONCAT(_xlfn.UNIQUE(_xlfn._xlws.FILTER(AB$19:AB$1010,(($A$19:$A$1010=$A7)*(AB$19:AB$1010&lt;&gt;0)*(AB$19:AB$1010&lt;&gt;"F"))))),"")</f>
        <v/>
      </c>
      <c r="AC7" s="45" t="str" cm="1">
        <f t="array" ref="AC7">+IFERROR(_xlfn.CONCAT(_xlfn.UNIQUE(_xlfn._xlws.FILTER(AC$19:AC$1010,(($A$19:$A$1010=$A7)*(AC$19:AC$1010&lt;&gt;0)*(AC$19:AC$1010&lt;&gt;"F"))))),"")</f>
        <v/>
      </c>
      <c r="AD7" s="46" t="str" cm="1">
        <f t="array" ref="AD7">+IFERROR(_xlfn.CONCAT(_xlfn.UNIQUE(_xlfn._xlws.FILTER(AD$19:AD$1010,(($A$19:$A$1010=$A7)*(AD$19:AD$1010&lt;&gt;0)*(AD$19:AD$1010&lt;&gt;"F"))))),"")</f>
        <v/>
      </c>
      <c r="AE7" s="46" t="str" cm="1">
        <f t="array" ref="AE7">+IFERROR(_xlfn.CONCAT(_xlfn.UNIQUE(_xlfn._xlws.FILTER(AE$19:AE$1010,(($A$19:$A$1010=$A7)*(AE$19:AE$1010&lt;&gt;0)*(AE$19:AE$1010&lt;&gt;"F"))))),"")</f>
        <v/>
      </c>
      <c r="AF7" s="47" t="str" cm="1">
        <f t="array" ref="AF7">+IFERROR(_xlfn.CONCAT(_xlfn.UNIQUE(_xlfn._xlws.FILTER(AF$19:AF$1010,(($A$19:$A$1010=$A7)*(AF$19:AF$1010&lt;&gt;0)*(AF$19:AF$1010&lt;&gt;"F"))))),"")</f>
        <v/>
      </c>
      <c r="AG7" s="45" t="str" cm="1">
        <f t="array" ref="AG7">+IFERROR(_xlfn.CONCAT(_xlfn.UNIQUE(_xlfn._xlws.FILTER(AG$19:AG$1010,(($A$19:$A$1010=$A7)*(AG$19:AG$1010&lt;&gt;0)*(AG$19:AG$1010&lt;&gt;"F"))))),"")</f>
        <v/>
      </c>
      <c r="AH7" s="46" t="str" cm="1">
        <f t="array" ref="AH7">+IFERROR(_xlfn.CONCAT(_xlfn.UNIQUE(_xlfn._xlws.FILTER(AH$19:AH$1010,(($A$19:$A$1010=$A7)*(AH$19:AH$1010&lt;&gt;0)*(AH$19:AH$1010&lt;&gt;"F"))))),"")</f>
        <v/>
      </c>
      <c r="AI7" s="46" t="str" cm="1">
        <f t="array" ref="AI7">+IFERROR(_xlfn.CONCAT(_xlfn.UNIQUE(_xlfn._xlws.FILTER(AI$19:AI$1010,(($A$19:$A$1010=$A7)*(AI$19:AI$1010&lt;&gt;0)*(AI$19:AI$1010&lt;&gt;"F"))))),"")</f>
        <v/>
      </c>
      <c r="AJ7" s="46" t="str" cm="1">
        <f t="array" ref="AJ7">+IFERROR(_xlfn.CONCAT(_xlfn.UNIQUE(_xlfn._xlws.FILTER(AJ$19:AJ$1010,(($A$19:$A$1010=$A7)*(AJ$19:AJ$1010&lt;&gt;0)*(AJ$19:AJ$1010&lt;&gt;"F"))))),"")</f>
        <v/>
      </c>
      <c r="AK7" s="47" t="str" cm="1">
        <f t="array" ref="AK7">+IFERROR(_xlfn.CONCAT(_xlfn.UNIQUE(_xlfn._xlws.FILTER(AK$19:AK$1010,(($A$19:$A$1010=$A7)*(AK$19:AK$1010&lt;&gt;0)*(AK$19:AK$1010&lt;&gt;"F"))))),"")</f>
        <v/>
      </c>
      <c r="AL7" s="45" t="str" cm="1">
        <f t="array" ref="AL7">+IFERROR(_xlfn.CONCAT(_xlfn.UNIQUE(_xlfn._xlws.FILTER(AL$19:AL$1010,(($A$19:$A$1010=$A7)*(AL$19:AL$1010&lt;&gt;0)*(AL$19:AL$1010&lt;&gt;"F"))))),"")</f>
        <v/>
      </c>
      <c r="AM7" s="46" t="str" cm="1">
        <f t="array" ref="AM7">+IFERROR(_xlfn.CONCAT(_xlfn.UNIQUE(_xlfn._xlws.FILTER(AM$19:AM$1010,(($A$19:$A$1010=$A7)*(AM$19:AM$1010&lt;&gt;0)*(AM$19:AM$1010&lt;&gt;"F"))))),"")</f>
        <v/>
      </c>
      <c r="AN7" s="46" t="str" cm="1">
        <f t="array" ref="AN7">+IFERROR(_xlfn.CONCAT(_xlfn.UNIQUE(_xlfn._xlws.FILTER(AN$19:AN$1010,(($A$19:$A$1010=$A7)*(AN$19:AN$1010&lt;&gt;0)*(AN$19:AN$1010&lt;&gt;"F"))))),"")</f>
        <v/>
      </c>
      <c r="AO7" s="47" t="str" cm="1">
        <f t="array" ref="AO7">+IFERROR(_xlfn.CONCAT(_xlfn.UNIQUE(_xlfn._xlws.FILTER(AO$19:AO$1010,(($A$19:$A$1010=$A7)*(AO$19:AO$1010&lt;&gt;0)*(AO$19:AO$1010&lt;&gt;"F"))))),"")</f>
        <v/>
      </c>
      <c r="AP7" s="45" t="str" cm="1">
        <f t="array" ref="AP7">+IFERROR(_xlfn.CONCAT(_xlfn.UNIQUE(_xlfn._xlws.FILTER(AP$19:AP$1010,(($A$19:$A$1010=$A7)*(AP$19:AP$1010&lt;&gt;0)*(AP$19:AP$1010&lt;&gt;"F"))))),"")</f>
        <v/>
      </c>
      <c r="AQ7" s="46" t="str" cm="1">
        <f t="array" ref="AQ7">+IFERROR(_xlfn.CONCAT(_xlfn.UNIQUE(_xlfn._xlws.FILTER(AQ$19:AQ$1010,(($A$19:$A$1010=$A7)*(AQ$19:AQ$1010&lt;&gt;0)*(AQ$19:AQ$1010&lt;&gt;"F"))))),"")</f>
        <v/>
      </c>
      <c r="AR7" s="46" t="str" cm="1">
        <f t="array" ref="AR7">+IFERROR(_xlfn.CONCAT(_xlfn.UNIQUE(_xlfn._xlws.FILTER(AR$19:AR$1010,(($A$19:$A$1010=$A7)*(AR$19:AR$1010&lt;&gt;0)*(AR$19:AR$1010&lt;&gt;"F"))))),"")</f>
        <v/>
      </c>
      <c r="AS7" s="47" t="str" cm="1">
        <f t="array" ref="AS7">+IFERROR(_xlfn.CONCAT(_xlfn.UNIQUE(_xlfn._xlws.FILTER(AS$19:AS$1010,(($A$19:$A$1010=$A7)*(AS$19:AS$1010&lt;&gt;0)*(AS$19:AS$1010&lt;&gt;"F"))))),"")</f>
        <v/>
      </c>
      <c r="AT7" s="45" t="str" cm="1">
        <f t="array" ref="AT7">+IFERROR(_xlfn.CONCAT(_xlfn.UNIQUE(_xlfn._xlws.FILTER(AT$19:AT$1010,(($A$19:$A$1010=$A7)*(AT$19:AT$1010&lt;&gt;0)*(AT$19:AT$1010&lt;&gt;"F"))))),"")</f>
        <v/>
      </c>
      <c r="AU7" s="46" t="str" cm="1">
        <f t="array" ref="AU7">+IFERROR(_xlfn.CONCAT(_xlfn.UNIQUE(_xlfn._xlws.FILTER(AU$19:AU$1010,(($A$19:$A$1010=$A7)*(AU$19:AU$1010&lt;&gt;0)*(AU$19:AU$1010&lt;&gt;"F"))))),"")</f>
        <v/>
      </c>
      <c r="AV7" s="46" t="str" cm="1">
        <f t="array" ref="AV7">+IFERROR(_xlfn.CONCAT(_xlfn.UNIQUE(_xlfn._xlws.FILTER(AV$19:AV$1010,(($A$19:$A$1010=$A7)*(AV$19:AV$1010&lt;&gt;0)*(AV$19:AV$1010&lt;&gt;"F"))))),"")</f>
        <v/>
      </c>
      <c r="AW7" s="46" t="str" cm="1">
        <f t="array" ref="AW7">+IFERROR(_xlfn.CONCAT(_xlfn.UNIQUE(_xlfn._xlws.FILTER(AW$19:AW$1010,(($A$19:$A$1010=$A7)*(AW$19:AW$1010&lt;&gt;0)*(AW$19:AW$1010&lt;&gt;"F"))))),"")</f>
        <v/>
      </c>
      <c r="AX7" s="47" t="str" cm="1">
        <f t="array" ref="AX7">+IFERROR(_xlfn.CONCAT(_xlfn.UNIQUE(_xlfn._xlws.FILTER(AX$19:AX$1010,(($A$19:$A$1010=$A7)*(AX$19:AX$1010&lt;&gt;0)*(AX$19:AX$1010&lt;&gt;"F"))))),"")</f>
        <v/>
      </c>
      <c r="AY7" s="45" t="str" cm="1">
        <f t="array" ref="AY7">+IFERROR(_xlfn.CONCAT(_xlfn.UNIQUE(_xlfn._xlws.FILTER(AY$19:AY$1010,(($A$19:$A$1010=$A7)*(AY$19:AY$1010&lt;&gt;0)*(AY$19:AY$1010&lt;&gt;"F"))))),"")</f>
        <v/>
      </c>
      <c r="AZ7" s="46" t="str" cm="1">
        <f t="array" ref="AZ7">+IFERROR(_xlfn.CONCAT(_xlfn.UNIQUE(_xlfn._xlws.FILTER(AZ$19:AZ$1010,(($A$19:$A$1010=$A7)*(AZ$19:AZ$1010&lt;&gt;0)*(AZ$19:AZ$1010&lt;&gt;"F"))))),"")</f>
        <v/>
      </c>
      <c r="BA7" s="46" t="str" cm="1">
        <f t="array" ref="BA7">+IFERROR(_xlfn.CONCAT(_xlfn.UNIQUE(_xlfn._xlws.FILTER(BA$19:BA$1010,(($A$19:$A$1010=$A7)*(BA$19:BA$1010&lt;&gt;0)*(BA$19:BA$1010&lt;&gt;"F"))))),"")</f>
        <v/>
      </c>
      <c r="BB7" s="47" t="str" cm="1">
        <f t="array" ref="BB7">+IFERROR(_xlfn.CONCAT(_xlfn.UNIQUE(_xlfn._xlws.FILTER(BB$19:BB$1010,(($A$19:$A$1010=$A7)*(BB$19:BB$1010&lt;&gt;0)*(BB$19:BB$1010&lt;&gt;"F"))))),"")</f>
        <v/>
      </c>
      <c r="BC7" s="45" t="str" cm="1">
        <f t="array" ref="BC7">+IFERROR(_xlfn.CONCAT(_xlfn.UNIQUE(_xlfn._xlws.FILTER(BC$19:BC$1010,(($A$19:$A$1010=$A7)*(BC$19:BC$1010&lt;&gt;0)*(BC$19:BC$1010&lt;&gt;"F"))))),"")</f>
        <v/>
      </c>
      <c r="BD7" s="46" t="str" cm="1">
        <f t="array" ref="BD7">+IFERROR(_xlfn.CONCAT(_xlfn.UNIQUE(_xlfn._xlws.FILTER(BD$19:BD$1010,(($A$19:$A$1010=$A7)*(BD$19:BD$1010&lt;&gt;0)*(BD$19:BD$1010&lt;&gt;"F"))))),"")</f>
        <v/>
      </c>
      <c r="BE7" s="46" t="str" cm="1">
        <f t="array" ref="BE7">+IFERROR(_xlfn.CONCAT(_xlfn.UNIQUE(_xlfn._xlws.FILTER(BE$19:BE$1010,(($A$19:$A$1010=$A7)*(BE$19:BE$1010&lt;&gt;0)*(BE$19:BE$1010&lt;&gt;"F"))))),"")</f>
        <v/>
      </c>
      <c r="BF7" s="47" t="str" cm="1">
        <f t="array" ref="BF7">+IFERROR(_xlfn.CONCAT(_xlfn.UNIQUE(_xlfn._xlws.FILTER(BF$19:BF$1010,(($A$19:$A$1010=$A7)*(BF$19:BF$1010&lt;&gt;0)*(BF$19:BF$1010&lt;&gt;"F"))))),"")</f>
        <v/>
      </c>
      <c r="BG7" s="45" t="str" cm="1">
        <f t="array" ref="BG7">+IFERROR(_xlfn.CONCAT(_xlfn.UNIQUE(_xlfn._xlws.FILTER(BG$19:BG$1010,(($A$19:$A$1010=$A7)*(BG$19:BG$1010&lt;&gt;0)*(BG$19:BG$1010&lt;&gt;"F"))))),"")</f>
        <v/>
      </c>
      <c r="BH7" s="46" t="str" cm="1">
        <f t="array" ref="BH7">+IFERROR(_xlfn.CONCAT(_xlfn.UNIQUE(_xlfn._xlws.FILTER(BH$19:BH$1010,(($A$19:$A$1010=$A7)*(BH$19:BH$1010&lt;&gt;0)*(BH$19:BH$1010&lt;&gt;"F"))))),"")</f>
        <v/>
      </c>
      <c r="BI7" s="46" t="str" cm="1">
        <f t="array" ref="BI7">+IFERROR(_xlfn.CONCAT(_xlfn.UNIQUE(_xlfn._xlws.FILTER(BI$19:BI$1010,(($A$19:$A$1010=$A7)*(BI$19:BI$1010&lt;&gt;0)*(BI$19:BI$1010&lt;&gt;"F"))))),"")</f>
        <v/>
      </c>
      <c r="BJ7" s="46" t="str" cm="1">
        <f t="array" ref="BJ7">+IFERROR(_xlfn.CONCAT(_xlfn.UNIQUE(_xlfn._xlws.FILTER(BJ$19:BJ$1010,(($A$19:$A$1010=$A7)*(BJ$19:BJ$1010&lt;&gt;0)*(BJ$19:BJ$1010&lt;&gt;"F"))))),"")</f>
        <v/>
      </c>
      <c r="BK7" s="47" t="str" cm="1">
        <f t="array" ref="BK7">+IFERROR(_xlfn.CONCAT(_xlfn.UNIQUE(_xlfn._xlws.FILTER(BK$19:BK$1010,(($A$19:$A$1010=$A7)*(BK$19:BK$1010&lt;&gt;0)*(BK$19:BK$1010&lt;&gt;"F"))))),"")</f>
        <v/>
      </c>
      <c r="BL7" s="45" t="str" cm="1">
        <f t="array" ref="BL7">+IFERROR(_xlfn.CONCAT(_xlfn.UNIQUE(_xlfn._xlws.FILTER(BL$19:BL$1010,(($A$19:$A$1010=$A7)*(BL$19:BL$1010&lt;&gt;0)*(BL$19:BL$1010&lt;&gt;"F"))))),"")</f>
        <v/>
      </c>
      <c r="BM7" s="46" t="str" cm="1">
        <f t="array" ref="BM7">+IFERROR(_xlfn.CONCAT(_xlfn.UNIQUE(_xlfn._xlws.FILTER(BM$19:BM$1010,(($A$19:$A$1010=$A7)*(BM$19:BM$1010&lt;&gt;0)*(BM$19:BM$1010&lt;&gt;"F"))))),"")</f>
        <v/>
      </c>
      <c r="BN7" s="46" t="str" cm="1">
        <f t="array" ref="BN7">+IFERROR(_xlfn.CONCAT(_xlfn.UNIQUE(_xlfn._xlws.FILTER(BN$19:BN$1010,(($A$19:$A$1010=$A7)*(BN$19:BN$1010&lt;&gt;0)*(BN$19:BN$1010&lt;&gt;"F"))))),"")</f>
        <v/>
      </c>
      <c r="BO7" s="47" t="str" cm="1">
        <f t="array" ref="BO7">+IFERROR(_xlfn.CONCAT(_xlfn.UNIQUE(_xlfn._xlws.FILTER(BO$19:BO$1010,(($A$19:$A$1010=$A7)*(BO$19:BO$1010&lt;&gt;0)*(BO$19:BO$1010&lt;&gt;"F"))))),"")</f>
        <v/>
      </c>
      <c r="BP7" s="45" t="str" cm="1">
        <f t="array" ref="BP7">+IFERROR(_xlfn.CONCAT(_xlfn.UNIQUE(_xlfn._xlws.FILTER(BP$19:BP$1010,(($A$19:$A$1010=$A7)*(BP$19:BP$1010&lt;&gt;0)*(BP$19:BP$1010&lt;&gt;"F"))))),"")</f>
        <v/>
      </c>
      <c r="BQ7" s="46" t="str" cm="1">
        <f t="array" ref="BQ7">+IFERROR(_xlfn.CONCAT(_xlfn.UNIQUE(_xlfn._xlws.FILTER(BQ$19:BQ$1010,(($A$19:$A$1010=$A7)*(BQ$19:BQ$1010&lt;&gt;0)*(BQ$19:BQ$1010&lt;&gt;"F"))))),"")</f>
        <v/>
      </c>
      <c r="BR7" s="46" t="str" cm="1">
        <f t="array" ref="BR7">+IFERROR(_xlfn.CONCAT(_xlfn.UNIQUE(_xlfn._xlws.FILTER(BR$19:BR$1010,(($A$19:$A$1010=$A7)*(BR$19:BR$1010&lt;&gt;0)*(BR$19:BR$1010&lt;&gt;"F"))))),"")</f>
        <v/>
      </c>
      <c r="BS7" s="47" t="str" cm="1">
        <f t="array" ref="BS7">+IFERROR(_xlfn.CONCAT(_xlfn.UNIQUE(_xlfn._xlws.FILTER(BS$19:BS$1010,(($A$19:$A$1010=$A7)*(BS$19:BS$1010&lt;&gt;0)*(BS$19:BS$1010&lt;&gt;"F"))))),"")</f>
        <v/>
      </c>
    </row>
    <row r="8" spans="1:71" s="13" customFormat="1" ht="39.9" customHeight="1" x14ac:dyDescent="0.3">
      <c r="A8" s="57" t="str">
        <v>RAVEX - ROTEIRIZACAO DE GADO</v>
      </c>
      <c r="B8" s="27"/>
      <c r="C8" s="28">
        <v>1200000</v>
      </c>
      <c r="D8" s="29" t="str">
        <v>Estratégico</v>
      </c>
      <c r="E8" s="29" t="str">
        <v>Implantação Sistema Terceiro</v>
      </c>
      <c r="F8" s="29" t="str">
        <v>Média</v>
      </c>
      <c r="G8" s="45" t="str" cm="1">
        <f t="array" ref="G8">+IFERROR(_xlfn.CONCAT(_xlfn.UNIQUE(_xlfn._xlws.FILTER(G$19:G$1010,(($A$19:$A$1010=$A8)*(G$19:G$1010&lt;&gt;0)*(G$19:G$1010&lt;&gt;"F"))))),"")</f>
        <v/>
      </c>
      <c r="H8" s="46" t="str" cm="1">
        <f t="array" ref="H8">+IFERROR(_xlfn.CONCAT(_xlfn.UNIQUE(_xlfn._xlws.FILTER(H$19:H$1010,(($A$19:$A$1010=$A8)*(H$19:H$1010&lt;&gt;0)*(H$19:H$1010&lt;&gt;"F"))))),"")</f>
        <v/>
      </c>
      <c r="I8" s="46" t="str" cm="1">
        <f t="array" ref="I8">+IFERROR(_xlfn.CONCAT(_xlfn.UNIQUE(_xlfn._xlws.FILTER(I$19:I$1010,(($A$19:$A$1010=$A8)*(I$19:I$1010&lt;&gt;0)*(I$19:I$1010&lt;&gt;"F"))))),"")</f>
        <v/>
      </c>
      <c r="J8" s="46" t="str" cm="1">
        <f t="array" ref="J8">+IFERROR(_xlfn.CONCAT(_xlfn.UNIQUE(_xlfn._xlws.FILTER(J$19:J$1010,(($A$19:$A$1010=$A8)*(J$19:J$1010&lt;&gt;0)*(J$19:J$1010&lt;&gt;"F"))))),"")</f>
        <v/>
      </c>
      <c r="K8" s="47" t="str" cm="1">
        <f t="array" ref="K8">+IFERROR(_xlfn.CONCAT(_xlfn.UNIQUE(_xlfn._xlws.FILTER(K$19:K$1010,(($A$19:$A$1010=$A8)*(K$19:K$1010&lt;&gt;0)*(K$19:K$1010&lt;&gt;"F"))))),"")</f>
        <v/>
      </c>
      <c r="L8" s="45" t="str" cm="1">
        <f t="array" ref="L8">+IFERROR(_xlfn.CONCAT(_xlfn.UNIQUE(_xlfn._xlws.FILTER(L$19:L$1010,(($A$19:$A$1010=$A8)*(L$19:L$1010&lt;&gt;0)*(L$19:L$1010&lt;&gt;"F"))))),"")</f>
        <v/>
      </c>
      <c r="M8" s="46" t="str" cm="1">
        <f t="array" ref="M8">+IFERROR(_xlfn.CONCAT(_xlfn.UNIQUE(_xlfn._xlws.FILTER(M$19:M$1010,(($A$19:$A$1010=$A8)*(M$19:M$1010&lt;&gt;0)*(M$19:M$1010&lt;&gt;"F"))))),"")</f>
        <v/>
      </c>
      <c r="N8" s="46" t="str" cm="1">
        <f t="array" ref="N8">+IFERROR(_xlfn.CONCAT(_xlfn.UNIQUE(_xlfn._xlws.FILTER(N$19:N$1010,(($A$19:$A$1010=$A8)*(N$19:N$1010&lt;&gt;0)*(N$19:N$1010&lt;&gt;"F"))))),"")</f>
        <v/>
      </c>
      <c r="O8" s="47" t="str" cm="1">
        <f t="array" ref="O8">+IFERROR(_xlfn.CONCAT(_xlfn.UNIQUE(_xlfn._xlws.FILTER(O$19:O$1010,(($A$19:$A$1010=$A8)*(O$19:O$1010&lt;&gt;0)*(O$19:O$1010&lt;&gt;"F"))))),"")</f>
        <v/>
      </c>
      <c r="P8" s="45" t="str" cm="1">
        <f t="array" ref="P8">+IFERROR(_xlfn.CONCAT(_xlfn.UNIQUE(_xlfn._xlws.FILTER(P$19:P$1010,(($A$19:$A$1010=$A8)*(P$19:P$1010&lt;&gt;0)*(P$19:P$1010&lt;&gt;"F"))))),"")</f>
        <v/>
      </c>
      <c r="Q8" s="46" t="str" cm="1">
        <f t="array" ref="Q8">+IFERROR(_xlfn.CONCAT(_xlfn.UNIQUE(_xlfn._xlws.FILTER(Q$19:Q$1010,(($A$19:$A$1010=$A8)*(Q$19:Q$1010&lt;&gt;0)*(Q$19:Q$1010&lt;&gt;"F"))))),"")</f>
        <v/>
      </c>
      <c r="R8" s="46" t="str" cm="1">
        <f t="array" ref="R8">+IFERROR(_xlfn.CONCAT(_xlfn.UNIQUE(_xlfn._xlws.FILTER(R$19:R$1010,(($A$19:$A$1010=$A8)*(R$19:R$1010&lt;&gt;0)*(R$19:R$1010&lt;&gt;"F"))))),"")</f>
        <v/>
      </c>
      <c r="S8" s="47" t="str" cm="1">
        <f t="array" ref="S8">+IFERROR(_xlfn.CONCAT(_xlfn.UNIQUE(_xlfn._xlws.FILTER(S$19:S$1010,(($A$19:$A$1010=$A8)*(S$19:S$1010&lt;&gt;0)*(S$19:S$1010&lt;&gt;"F"))))),"")</f>
        <v/>
      </c>
      <c r="T8" s="45" t="str" cm="1">
        <f t="array" ref="T8">+IFERROR(_xlfn.CONCAT(_xlfn.UNIQUE(_xlfn._xlws.FILTER(T$19:T$1010,(($A$19:$A$1010=$A8)*(T$19:T$1010&lt;&gt;0)*(T$19:T$1010&lt;&gt;"F"))))),"")</f>
        <v/>
      </c>
      <c r="U8" s="46" t="str" cm="1">
        <f t="array" ref="U8">+IFERROR(_xlfn.CONCAT(_xlfn.UNIQUE(_xlfn._xlws.FILTER(U$19:U$1010,(($A$19:$A$1010=$A8)*(U$19:U$1010&lt;&gt;0)*(U$19:U$1010&lt;&gt;"F"))))),"")</f>
        <v/>
      </c>
      <c r="V8" s="46" t="str" cm="1">
        <f t="array" ref="V8">+IFERROR(_xlfn.CONCAT(_xlfn.UNIQUE(_xlfn._xlws.FILTER(V$19:V$1010,(($A$19:$A$1010=$A8)*(V$19:V$1010&lt;&gt;0)*(V$19:V$1010&lt;&gt;"F"))))),"")</f>
        <v/>
      </c>
      <c r="W8" s="46" t="str" cm="1">
        <f t="array" ref="W8">+IFERROR(_xlfn.CONCAT(_xlfn.UNIQUE(_xlfn._xlws.FILTER(W$19:W$1010,(($A$19:$A$1010=$A8)*(W$19:W$1010&lt;&gt;0)*(W$19:W$1010&lt;&gt;"F"))))),"")</f>
        <v/>
      </c>
      <c r="X8" s="47" t="str" cm="1">
        <f t="array" ref="X8">+IFERROR(_xlfn.CONCAT(_xlfn.UNIQUE(_xlfn._xlws.FILTER(X$19:X$1010,(($A$19:$A$1010=$A8)*(X$19:X$1010&lt;&gt;0)*(X$19:X$1010&lt;&gt;"F"))))),"")</f>
        <v/>
      </c>
      <c r="Y8" s="45" t="str" cm="1">
        <f t="array" ref="Y8">+IFERROR(_xlfn.CONCAT(_xlfn.UNIQUE(_xlfn._xlws.FILTER(Y$19:Y$1010,(($A$19:$A$1010=$A8)*(Y$19:Y$1010&lt;&gt;0)*(Y$19:Y$1010&lt;&gt;"F"))))),"")</f>
        <v/>
      </c>
      <c r="Z8" s="46" t="str" cm="1">
        <f t="array" ref="Z8">+IFERROR(_xlfn.CONCAT(_xlfn.UNIQUE(_xlfn._xlws.FILTER(Z$19:Z$1010,(($A$19:$A$1010=$A8)*(Z$19:Z$1010&lt;&gt;0)*(Z$19:Z$1010&lt;&gt;"F"))))),"")</f>
        <v/>
      </c>
      <c r="AA8" s="46" t="str" cm="1">
        <f t="array" ref="AA8">+IFERROR(_xlfn.CONCAT(_xlfn.UNIQUE(_xlfn._xlws.FILTER(AA$19:AA$1010,(($A$19:$A$1010=$A8)*(AA$19:AA$1010&lt;&gt;0)*(AA$19:AA$1010&lt;&gt;"F"))))),"")</f>
        <v/>
      </c>
      <c r="AB8" s="47" t="str" cm="1">
        <f t="array" ref="AB8">+IFERROR(_xlfn.CONCAT(_xlfn.UNIQUE(_xlfn._xlws.FILTER(AB$19:AB$1010,(($A$19:$A$1010=$A8)*(AB$19:AB$1010&lt;&gt;0)*(AB$19:AB$1010&lt;&gt;"F"))))),"")</f>
        <v/>
      </c>
      <c r="AC8" s="45" t="str" cm="1">
        <f t="array" ref="AC8">+IFERROR(_xlfn.CONCAT(_xlfn.UNIQUE(_xlfn._xlws.FILTER(AC$19:AC$1010,(($A$19:$A$1010=$A8)*(AC$19:AC$1010&lt;&gt;0)*(AC$19:AC$1010&lt;&gt;"F"))))),"")</f>
        <v/>
      </c>
      <c r="AD8" s="46" t="str" cm="1">
        <f t="array" ref="AD8">+IFERROR(_xlfn.CONCAT(_xlfn.UNIQUE(_xlfn._xlws.FILTER(AD$19:AD$1010,(($A$19:$A$1010=$A8)*(AD$19:AD$1010&lt;&gt;0)*(AD$19:AD$1010&lt;&gt;"F"))))),"")</f>
        <v/>
      </c>
      <c r="AE8" s="46" t="str" cm="1">
        <f t="array" ref="AE8">+IFERROR(_xlfn.CONCAT(_xlfn.UNIQUE(_xlfn._xlws.FILTER(AE$19:AE$1010,(($A$19:$A$1010=$A8)*(AE$19:AE$1010&lt;&gt;0)*(AE$19:AE$1010&lt;&gt;"F"))))),"")</f>
        <v/>
      </c>
      <c r="AF8" s="47" t="str" cm="1">
        <f t="array" ref="AF8">+IFERROR(_xlfn.CONCAT(_xlfn.UNIQUE(_xlfn._xlws.FILTER(AF$19:AF$1010,(($A$19:$A$1010=$A8)*(AF$19:AF$1010&lt;&gt;0)*(AF$19:AF$1010&lt;&gt;"F"))))),"")</f>
        <v/>
      </c>
      <c r="AG8" s="45" t="str" cm="1">
        <f t="array" ref="AG8">+IFERROR(_xlfn.CONCAT(_xlfn.UNIQUE(_xlfn._xlws.FILTER(AG$19:AG$1010,(($A$19:$A$1010=$A8)*(AG$19:AG$1010&lt;&gt;0)*(AG$19:AG$1010&lt;&gt;"F"))))),"")</f>
        <v/>
      </c>
      <c r="AH8" s="46" t="str" cm="1">
        <f t="array" ref="AH8">+IFERROR(_xlfn.CONCAT(_xlfn.UNIQUE(_xlfn._xlws.FILTER(AH$19:AH$1010,(($A$19:$A$1010=$A8)*(AH$19:AH$1010&lt;&gt;0)*(AH$19:AH$1010&lt;&gt;"F"))))),"")</f>
        <v/>
      </c>
      <c r="AI8" s="46" t="str" cm="1">
        <f t="array" ref="AI8">+IFERROR(_xlfn.CONCAT(_xlfn.UNIQUE(_xlfn._xlws.FILTER(AI$19:AI$1010,(($A$19:$A$1010=$A8)*(AI$19:AI$1010&lt;&gt;0)*(AI$19:AI$1010&lt;&gt;"F"))))),"")</f>
        <v/>
      </c>
      <c r="AJ8" s="46" t="str" cm="1">
        <f t="array" ref="AJ8">+IFERROR(_xlfn.CONCAT(_xlfn.UNIQUE(_xlfn._xlws.FILTER(AJ$19:AJ$1010,(($A$19:$A$1010=$A8)*(AJ$19:AJ$1010&lt;&gt;0)*(AJ$19:AJ$1010&lt;&gt;"F"))))),"")</f>
        <v/>
      </c>
      <c r="AK8" s="47" t="str" cm="1">
        <f t="array" ref="AK8">+IFERROR(_xlfn.CONCAT(_xlfn.UNIQUE(_xlfn._xlws.FILTER(AK$19:AK$1010,(($A$19:$A$1010=$A8)*(AK$19:AK$1010&lt;&gt;0)*(AK$19:AK$1010&lt;&gt;"F"))))),"")</f>
        <v/>
      </c>
      <c r="AL8" s="45" t="str" cm="1">
        <f t="array" ref="AL8">+IFERROR(_xlfn.CONCAT(_xlfn.UNIQUE(_xlfn._xlws.FILTER(AL$19:AL$1010,(($A$19:$A$1010=$A8)*(AL$19:AL$1010&lt;&gt;0)*(AL$19:AL$1010&lt;&gt;"F"))))),"")</f>
        <v/>
      </c>
      <c r="AM8" s="46" t="str" cm="1">
        <f t="array" ref="AM8">+IFERROR(_xlfn.CONCAT(_xlfn.UNIQUE(_xlfn._xlws.FILTER(AM$19:AM$1010,(($A$19:$A$1010=$A8)*(AM$19:AM$1010&lt;&gt;0)*(AM$19:AM$1010&lt;&gt;"F"))))),"")</f>
        <v/>
      </c>
      <c r="AN8" s="46" t="str" cm="1">
        <f t="array" ref="AN8">+IFERROR(_xlfn.CONCAT(_xlfn.UNIQUE(_xlfn._xlws.FILTER(AN$19:AN$1010,(($A$19:$A$1010=$A8)*(AN$19:AN$1010&lt;&gt;0)*(AN$19:AN$1010&lt;&gt;"F"))))),"")</f>
        <v/>
      </c>
      <c r="AO8" s="47" t="str" cm="1">
        <f t="array" ref="AO8">+IFERROR(_xlfn.CONCAT(_xlfn.UNIQUE(_xlfn._xlws.FILTER(AO$19:AO$1010,(($A$19:$A$1010=$A8)*(AO$19:AO$1010&lt;&gt;0)*(AO$19:AO$1010&lt;&gt;"F"))))),"")</f>
        <v/>
      </c>
      <c r="AP8" s="45" t="str" cm="1">
        <f t="array" ref="AP8">+IFERROR(_xlfn.CONCAT(_xlfn.UNIQUE(_xlfn._xlws.FILTER(AP$19:AP$1010,(($A$19:$A$1010=$A8)*(AP$19:AP$1010&lt;&gt;0)*(AP$19:AP$1010&lt;&gt;"F"))))),"")</f>
        <v/>
      </c>
      <c r="AQ8" s="46" t="str" cm="1">
        <f t="array" ref="AQ8">+IFERROR(_xlfn.CONCAT(_xlfn.UNIQUE(_xlfn._xlws.FILTER(AQ$19:AQ$1010,(($A$19:$A$1010=$A8)*(AQ$19:AQ$1010&lt;&gt;0)*(AQ$19:AQ$1010&lt;&gt;"F"))))),"")</f>
        <v/>
      </c>
      <c r="AR8" s="46" t="str" cm="1">
        <f t="array" ref="AR8">+IFERROR(_xlfn.CONCAT(_xlfn.UNIQUE(_xlfn._xlws.FILTER(AR$19:AR$1010,(($A$19:$A$1010=$A8)*(AR$19:AR$1010&lt;&gt;0)*(AR$19:AR$1010&lt;&gt;"F"))))),"")</f>
        <v/>
      </c>
      <c r="AS8" s="47" t="str" cm="1">
        <f t="array" ref="AS8">+IFERROR(_xlfn.CONCAT(_xlfn.UNIQUE(_xlfn._xlws.FILTER(AS$19:AS$1010,(($A$19:$A$1010=$A8)*(AS$19:AS$1010&lt;&gt;0)*(AS$19:AS$1010&lt;&gt;"F"))))),"")</f>
        <v/>
      </c>
      <c r="AT8" s="45" t="str" cm="1">
        <f t="array" ref="AT8">+IFERROR(_xlfn.CONCAT(_xlfn.UNIQUE(_xlfn._xlws.FILTER(AT$19:AT$1010,(($A$19:$A$1010=$A8)*(AT$19:AT$1010&lt;&gt;0)*(AT$19:AT$1010&lt;&gt;"F"))))),"")</f>
        <v/>
      </c>
      <c r="AU8" s="46" t="str" cm="1">
        <f t="array" ref="AU8">+IFERROR(_xlfn.CONCAT(_xlfn.UNIQUE(_xlfn._xlws.FILTER(AU$19:AU$1010,(($A$19:$A$1010=$A8)*(AU$19:AU$1010&lt;&gt;0)*(AU$19:AU$1010&lt;&gt;"F"))))),"")</f>
        <v/>
      </c>
      <c r="AV8" s="46" t="str" cm="1">
        <f t="array" ref="AV8">+IFERROR(_xlfn.CONCAT(_xlfn.UNIQUE(_xlfn._xlws.FILTER(AV$19:AV$1010,(($A$19:$A$1010=$A8)*(AV$19:AV$1010&lt;&gt;0)*(AV$19:AV$1010&lt;&gt;"F"))))),"")</f>
        <v/>
      </c>
      <c r="AW8" s="46" t="str" cm="1">
        <f t="array" ref="AW8">+IFERROR(_xlfn.CONCAT(_xlfn.UNIQUE(_xlfn._xlws.FILTER(AW$19:AW$1010,(($A$19:$A$1010=$A8)*(AW$19:AW$1010&lt;&gt;0)*(AW$19:AW$1010&lt;&gt;"F"))))),"")</f>
        <v/>
      </c>
      <c r="AX8" s="47" t="str" cm="1">
        <f t="array" ref="AX8">+IFERROR(_xlfn.CONCAT(_xlfn.UNIQUE(_xlfn._xlws.FILTER(AX$19:AX$1010,(($A$19:$A$1010=$A8)*(AX$19:AX$1010&lt;&gt;0)*(AX$19:AX$1010&lt;&gt;"F"))))),"")</f>
        <v/>
      </c>
      <c r="AY8" s="45" t="str" cm="1">
        <f t="array" ref="AY8">+IFERROR(_xlfn.CONCAT(_xlfn.UNIQUE(_xlfn._xlws.FILTER(AY$19:AY$1010,(($A$19:$A$1010=$A8)*(AY$19:AY$1010&lt;&gt;0)*(AY$19:AY$1010&lt;&gt;"F"))))),"")</f>
        <v/>
      </c>
      <c r="AZ8" s="46" t="str" cm="1">
        <f t="array" ref="AZ8">+IFERROR(_xlfn.CONCAT(_xlfn.UNIQUE(_xlfn._xlws.FILTER(AZ$19:AZ$1010,(($A$19:$A$1010=$A8)*(AZ$19:AZ$1010&lt;&gt;0)*(AZ$19:AZ$1010&lt;&gt;"F"))))),"")</f>
        <v/>
      </c>
      <c r="BA8" s="46" t="str" cm="1">
        <f t="array" ref="BA8">+IFERROR(_xlfn.CONCAT(_xlfn.UNIQUE(_xlfn._xlws.FILTER(BA$19:BA$1010,(($A$19:$A$1010=$A8)*(BA$19:BA$1010&lt;&gt;0)*(BA$19:BA$1010&lt;&gt;"F"))))),"")</f>
        <v/>
      </c>
      <c r="BB8" s="47" t="str" cm="1">
        <f t="array" ref="BB8">+IFERROR(_xlfn.CONCAT(_xlfn.UNIQUE(_xlfn._xlws.FILTER(BB$19:BB$1010,(($A$19:$A$1010=$A8)*(BB$19:BB$1010&lt;&gt;0)*(BB$19:BB$1010&lt;&gt;"F"))))),"")</f>
        <v/>
      </c>
      <c r="BC8" s="45" t="str" cm="1">
        <f t="array" ref="BC8">+IFERROR(_xlfn.CONCAT(_xlfn.UNIQUE(_xlfn._xlws.FILTER(BC$19:BC$1010,(($A$19:$A$1010=$A8)*(BC$19:BC$1010&lt;&gt;0)*(BC$19:BC$1010&lt;&gt;"F"))))),"")</f>
        <v/>
      </c>
      <c r="BD8" s="46" t="str" cm="1">
        <f t="array" ref="BD8">+IFERROR(_xlfn.CONCAT(_xlfn.UNIQUE(_xlfn._xlws.FILTER(BD$19:BD$1010,(($A$19:$A$1010=$A8)*(BD$19:BD$1010&lt;&gt;0)*(BD$19:BD$1010&lt;&gt;"F"))))),"")</f>
        <v/>
      </c>
      <c r="BE8" s="46" t="str" cm="1">
        <f t="array" ref="BE8">+IFERROR(_xlfn.CONCAT(_xlfn.UNIQUE(_xlfn._xlws.FILTER(BE$19:BE$1010,(($A$19:$A$1010=$A8)*(BE$19:BE$1010&lt;&gt;0)*(BE$19:BE$1010&lt;&gt;"F"))))),"")</f>
        <v/>
      </c>
      <c r="BF8" s="47" t="str" cm="1">
        <f t="array" ref="BF8">+IFERROR(_xlfn.CONCAT(_xlfn.UNIQUE(_xlfn._xlws.FILTER(BF$19:BF$1010,(($A$19:$A$1010=$A8)*(BF$19:BF$1010&lt;&gt;0)*(BF$19:BF$1010&lt;&gt;"F"))))),"")</f>
        <v/>
      </c>
      <c r="BG8" s="45" t="str" cm="1">
        <f t="array" ref="BG8">+IFERROR(_xlfn.CONCAT(_xlfn.UNIQUE(_xlfn._xlws.FILTER(BG$19:BG$1010,(($A$19:$A$1010=$A8)*(BG$19:BG$1010&lt;&gt;0)*(BG$19:BG$1010&lt;&gt;"F"))))),"")</f>
        <v/>
      </c>
      <c r="BH8" s="46" t="str" cm="1">
        <f t="array" ref="BH8">+IFERROR(_xlfn.CONCAT(_xlfn.UNIQUE(_xlfn._xlws.FILTER(BH$19:BH$1010,(($A$19:$A$1010=$A8)*(BH$19:BH$1010&lt;&gt;0)*(BH$19:BH$1010&lt;&gt;"F"))))),"")</f>
        <v/>
      </c>
      <c r="BI8" s="46" t="str" cm="1">
        <f t="array" ref="BI8">+IFERROR(_xlfn.CONCAT(_xlfn.UNIQUE(_xlfn._xlws.FILTER(BI$19:BI$1010,(($A$19:$A$1010=$A8)*(BI$19:BI$1010&lt;&gt;0)*(BI$19:BI$1010&lt;&gt;"F"))))),"")</f>
        <v/>
      </c>
      <c r="BJ8" s="46" t="str" cm="1">
        <f t="array" ref="BJ8">+IFERROR(_xlfn.CONCAT(_xlfn.UNIQUE(_xlfn._xlws.FILTER(BJ$19:BJ$1010,(($A$19:$A$1010=$A8)*(BJ$19:BJ$1010&lt;&gt;0)*(BJ$19:BJ$1010&lt;&gt;"F"))))),"")</f>
        <v/>
      </c>
      <c r="BK8" s="47" t="str" cm="1">
        <f t="array" ref="BK8">+IFERROR(_xlfn.CONCAT(_xlfn.UNIQUE(_xlfn._xlws.FILTER(BK$19:BK$1010,(($A$19:$A$1010=$A8)*(BK$19:BK$1010&lt;&gt;0)*(BK$19:BK$1010&lt;&gt;"F"))))),"")</f>
        <v/>
      </c>
      <c r="BL8" s="45" t="str" cm="1">
        <f t="array" ref="BL8">+IFERROR(_xlfn.CONCAT(_xlfn.UNIQUE(_xlfn._xlws.FILTER(BL$19:BL$1010,(($A$19:$A$1010=$A8)*(BL$19:BL$1010&lt;&gt;0)*(BL$19:BL$1010&lt;&gt;"F"))))),"")</f>
        <v/>
      </c>
      <c r="BM8" s="46" t="str" cm="1">
        <f t="array" ref="BM8">+IFERROR(_xlfn.CONCAT(_xlfn.UNIQUE(_xlfn._xlws.FILTER(BM$19:BM$1010,(($A$19:$A$1010=$A8)*(BM$19:BM$1010&lt;&gt;0)*(BM$19:BM$1010&lt;&gt;"F"))))),"")</f>
        <v/>
      </c>
      <c r="BN8" s="46" t="str" cm="1">
        <f t="array" ref="BN8">+IFERROR(_xlfn.CONCAT(_xlfn.UNIQUE(_xlfn._xlws.FILTER(BN$19:BN$1010,(($A$19:$A$1010=$A8)*(BN$19:BN$1010&lt;&gt;0)*(BN$19:BN$1010&lt;&gt;"F"))))),"")</f>
        <v/>
      </c>
      <c r="BO8" s="47" t="str" cm="1">
        <f t="array" ref="BO8">+IFERROR(_xlfn.CONCAT(_xlfn.UNIQUE(_xlfn._xlws.FILTER(BO$19:BO$1010,(($A$19:$A$1010=$A8)*(BO$19:BO$1010&lt;&gt;0)*(BO$19:BO$1010&lt;&gt;"F"))))),"")</f>
        <v/>
      </c>
      <c r="BP8" s="45" t="str" cm="1">
        <f t="array" ref="BP8">+IFERROR(_xlfn.CONCAT(_xlfn.UNIQUE(_xlfn._xlws.FILTER(BP$19:BP$1010,(($A$19:$A$1010=$A8)*(BP$19:BP$1010&lt;&gt;0)*(BP$19:BP$1010&lt;&gt;"F"))))),"")</f>
        <v/>
      </c>
      <c r="BQ8" s="46" t="str" cm="1">
        <f t="array" ref="BQ8">+IFERROR(_xlfn.CONCAT(_xlfn.UNIQUE(_xlfn._xlws.FILTER(BQ$19:BQ$1010,(($A$19:$A$1010=$A8)*(BQ$19:BQ$1010&lt;&gt;0)*(BQ$19:BQ$1010&lt;&gt;"F"))))),"")</f>
        <v/>
      </c>
      <c r="BR8" s="46" t="str" cm="1">
        <f t="array" ref="BR8">+IFERROR(_xlfn.CONCAT(_xlfn.UNIQUE(_xlfn._xlws.FILTER(BR$19:BR$1010,(($A$19:$A$1010=$A8)*(BR$19:BR$1010&lt;&gt;0)*(BR$19:BR$1010&lt;&gt;"F"))))),"")</f>
        <v/>
      </c>
      <c r="BS8" s="47" t="str" cm="1">
        <f t="array" ref="BS8">+IFERROR(_xlfn.CONCAT(_xlfn.UNIQUE(_xlfn._xlws.FILTER(BS$19:BS$1010,(($A$19:$A$1010=$A8)*(BS$19:BS$1010&lt;&gt;0)*(BS$19:BS$1010&lt;&gt;"F"))))),"")</f>
        <v/>
      </c>
    </row>
    <row r="9" spans="1:71" s="13" customFormat="1" ht="39.9" customHeight="1" x14ac:dyDescent="0.3">
      <c r="A9" s="57" t="str">
        <v>TABELA DE FRETES - FAIXA KM/KG</v>
      </c>
      <c r="B9" s="27"/>
      <c r="C9" s="28">
        <v>3600000</v>
      </c>
      <c r="D9" s="29" t="str">
        <v>Evolução do Produto</v>
      </c>
      <c r="E9" s="29" t="str">
        <v>Evolução, Melhoria ou Adequação</v>
      </c>
      <c r="F9" s="29" t="str">
        <v>Muito Alta</v>
      </c>
      <c r="G9" s="45" t="str" cm="1">
        <f t="array" ref="G9">+IFERROR(_xlfn.CONCAT(_xlfn.UNIQUE(_xlfn._xlws.FILTER(G$19:G$1010,(($A$19:$A$1010=$A9)*(G$19:G$1010&lt;&gt;0)*(G$19:G$1010&lt;&gt;"F"))))),"")</f>
        <v/>
      </c>
      <c r="H9" s="46" t="str" cm="1">
        <f t="array" ref="H9">+IFERROR(_xlfn.CONCAT(_xlfn.UNIQUE(_xlfn._xlws.FILTER(H$19:H$1010,(($A$19:$A$1010=$A9)*(H$19:H$1010&lt;&gt;0)*(H$19:H$1010&lt;&gt;"F"))))),"")</f>
        <v/>
      </c>
      <c r="I9" s="46" t="str" cm="1">
        <f t="array" ref="I9">+IFERROR(_xlfn.CONCAT(_xlfn.UNIQUE(_xlfn._xlws.FILTER(I$19:I$1010,(($A$19:$A$1010=$A9)*(I$19:I$1010&lt;&gt;0)*(I$19:I$1010&lt;&gt;"F"))))),"")</f>
        <v/>
      </c>
      <c r="J9" s="46" t="str" cm="1">
        <f t="array" ref="J9">+IFERROR(_xlfn.CONCAT(_xlfn.UNIQUE(_xlfn._xlws.FILTER(J$19:J$1010,(($A$19:$A$1010=$A9)*(J$19:J$1010&lt;&gt;0)*(J$19:J$1010&lt;&gt;"F"))))),"")</f>
        <v/>
      </c>
      <c r="K9" s="47" t="str" cm="1">
        <f t="array" ref="K9">+IFERROR(_xlfn.CONCAT(_xlfn.UNIQUE(_xlfn._xlws.FILTER(K$19:K$1010,(($A$19:$A$1010=$A9)*(K$19:K$1010&lt;&gt;0)*(K$19:K$1010&lt;&gt;"F"))))),"")</f>
        <v/>
      </c>
      <c r="L9" s="45" t="str" cm="1">
        <f t="array" ref="L9">+IFERROR(_xlfn.CONCAT(_xlfn.UNIQUE(_xlfn._xlws.FILTER(L$19:L$1010,(($A$19:$A$1010=$A9)*(L$19:L$1010&lt;&gt;0)*(L$19:L$1010&lt;&gt;"F"))))),"")</f>
        <v/>
      </c>
      <c r="M9" s="46" t="str" cm="1">
        <f t="array" ref="M9">+IFERROR(_xlfn.CONCAT(_xlfn.UNIQUE(_xlfn._xlws.FILTER(M$19:M$1010,(($A$19:$A$1010=$A9)*(M$19:M$1010&lt;&gt;0)*(M$19:M$1010&lt;&gt;"F"))))),"")</f>
        <v/>
      </c>
      <c r="N9" s="46" t="str" cm="1">
        <f t="array" ref="N9">+IFERROR(_xlfn.CONCAT(_xlfn.UNIQUE(_xlfn._xlws.FILTER(N$19:N$1010,(($A$19:$A$1010=$A9)*(N$19:N$1010&lt;&gt;0)*(N$19:N$1010&lt;&gt;"F"))))),"")</f>
        <v/>
      </c>
      <c r="O9" s="47" t="str" cm="1">
        <f t="array" ref="O9">+IFERROR(_xlfn.CONCAT(_xlfn.UNIQUE(_xlfn._xlws.FILTER(O$19:O$1010,(($A$19:$A$1010=$A9)*(O$19:O$1010&lt;&gt;0)*(O$19:O$1010&lt;&gt;"F"))))),"")</f>
        <v/>
      </c>
      <c r="P9" s="45" t="str" cm="1">
        <f t="array" ref="P9">+IFERROR(_xlfn.CONCAT(_xlfn.UNIQUE(_xlfn._xlws.FILTER(P$19:P$1010,(($A$19:$A$1010=$A9)*(P$19:P$1010&lt;&gt;0)*(P$19:P$1010&lt;&gt;"F"))))),"")</f>
        <v/>
      </c>
      <c r="Q9" s="46" t="str" cm="1">
        <f t="array" ref="Q9">+IFERROR(_xlfn.CONCAT(_xlfn.UNIQUE(_xlfn._xlws.FILTER(Q$19:Q$1010,(($A$19:$A$1010=$A9)*(Q$19:Q$1010&lt;&gt;0)*(Q$19:Q$1010&lt;&gt;"F"))))),"")</f>
        <v/>
      </c>
      <c r="R9" s="46" t="str" cm="1">
        <f t="array" ref="R9">+IFERROR(_xlfn.CONCAT(_xlfn.UNIQUE(_xlfn._xlws.FILTER(R$19:R$1010,(($A$19:$A$1010=$A9)*(R$19:R$1010&lt;&gt;0)*(R$19:R$1010&lt;&gt;"F"))))),"")</f>
        <v/>
      </c>
      <c r="S9" s="47" t="str" cm="1">
        <f t="array" ref="S9">+IFERROR(_xlfn.CONCAT(_xlfn.UNIQUE(_xlfn._xlws.FILTER(S$19:S$1010,(($A$19:$A$1010=$A9)*(S$19:S$1010&lt;&gt;0)*(S$19:S$1010&lt;&gt;"F"))))),"")</f>
        <v/>
      </c>
      <c r="T9" s="45" t="str" cm="1">
        <f t="array" ref="T9">+IFERROR(_xlfn.CONCAT(_xlfn.UNIQUE(_xlfn._xlws.FILTER(T$19:T$1010,(($A$19:$A$1010=$A9)*(T$19:T$1010&lt;&gt;0)*(T$19:T$1010&lt;&gt;"F"))))),"")</f>
        <v/>
      </c>
      <c r="U9" s="46" t="str" cm="1">
        <f t="array" ref="U9">+IFERROR(_xlfn.CONCAT(_xlfn.UNIQUE(_xlfn._xlws.FILTER(U$19:U$1010,(($A$19:$A$1010=$A9)*(U$19:U$1010&lt;&gt;0)*(U$19:U$1010&lt;&gt;"F"))))),"")</f>
        <v/>
      </c>
      <c r="V9" s="46" t="str" cm="1">
        <f t="array" ref="V9">+IFERROR(_xlfn.CONCAT(_xlfn.UNIQUE(_xlfn._xlws.FILTER(V$19:V$1010,(($A$19:$A$1010=$A9)*(V$19:V$1010&lt;&gt;0)*(V$19:V$1010&lt;&gt;"F"))))),"")</f>
        <v/>
      </c>
      <c r="W9" s="46" t="str" cm="1">
        <f t="array" ref="W9">+IFERROR(_xlfn.CONCAT(_xlfn.UNIQUE(_xlfn._xlws.FILTER(W$19:W$1010,(($A$19:$A$1010=$A9)*(W$19:W$1010&lt;&gt;0)*(W$19:W$1010&lt;&gt;"F"))))),"")</f>
        <v/>
      </c>
      <c r="X9" s="47" t="str" cm="1">
        <f t="array" ref="X9">+IFERROR(_xlfn.CONCAT(_xlfn.UNIQUE(_xlfn._xlws.FILTER(X$19:X$1010,(($A$19:$A$1010=$A9)*(X$19:X$1010&lt;&gt;0)*(X$19:X$1010&lt;&gt;"F"))))),"")</f>
        <v/>
      </c>
      <c r="Y9" s="45" t="str" cm="1">
        <f t="array" ref="Y9">+IFERROR(_xlfn.CONCAT(_xlfn.UNIQUE(_xlfn._xlws.FILTER(Y$19:Y$1010,(($A$19:$A$1010=$A9)*(Y$19:Y$1010&lt;&gt;0)*(Y$19:Y$1010&lt;&gt;"F"))))),"")</f>
        <v/>
      </c>
      <c r="Z9" s="46" t="str" cm="1">
        <f t="array" ref="Z9">+IFERROR(_xlfn.CONCAT(_xlfn.UNIQUE(_xlfn._xlws.FILTER(Z$19:Z$1010,(($A$19:$A$1010=$A9)*(Z$19:Z$1010&lt;&gt;0)*(Z$19:Z$1010&lt;&gt;"F"))))),"")</f>
        <v/>
      </c>
      <c r="AA9" s="46" t="str" cm="1">
        <f t="array" ref="AA9">+IFERROR(_xlfn.CONCAT(_xlfn.UNIQUE(_xlfn._xlws.FILTER(AA$19:AA$1010,(($A$19:$A$1010=$A9)*(AA$19:AA$1010&lt;&gt;0)*(AA$19:AA$1010&lt;&gt;"F"))))),"")</f>
        <v/>
      </c>
      <c r="AB9" s="47" t="str" cm="1">
        <f t="array" ref="AB9">+IFERROR(_xlfn.CONCAT(_xlfn.UNIQUE(_xlfn._xlws.FILTER(AB$19:AB$1010,(($A$19:$A$1010=$A9)*(AB$19:AB$1010&lt;&gt;0)*(AB$19:AB$1010&lt;&gt;"F"))))),"")</f>
        <v/>
      </c>
      <c r="AC9" s="45" t="str" cm="1">
        <f t="array" ref="AC9">+IFERROR(_xlfn.CONCAT(_xlfn.UNIQUE(_xlfn._xlws.FILTER(AC$19:AC$1010,(($A$19:$A$1010=$A9)*(AC$19:AC$1010&lt;&gt;0)*(AC$19:AC$1010&lt;&gt;"F"))))),"")</f>
        <v>IN</v>
      </c>
      <c r="AD9" s="46" t="str" cm="1">
        <f t="array" ref="AD9">+IFERROR(_xlfn.CONCAT(_xlfn.UNIQUE(_xlfn._xlws.FILTER(AD$19:AD$1010,(($A$19:$A$1010=$A9)*(AD$19:AD$1010&lt;&gt;0)*(AD$19:AD$1010&lt;&gt;"F"))))),"")</f>
        <v>ES</v>
      </c>
      <c r="AE9" s="46" t="str" cm="1">
        <f t="array" ref="AE9">+IFERROR(_xlfn.CONCAT(_xlfn.UNIQUE(_xlfn._xlws.FILTER(AE$19:AE$1010,(($A$19:$A$1010=$A9)*(AE$19:AE$1010&lt;&gt;0)*(AE$19:AE$1010&lt;&gt;"F"))))),"")</f>
        <v>ES</v>
      </c>
      <c r="AF9" s="47" t="str" cm="1">
        <f t="array" ref="AF9">+IFERROR(_xlfn.CONCAT(_xlfn.UNIQUE(_xlfn._xlws.FILTER(AF$19:AF$1010,(($A$19:$A$1010=$A9)*(AF$19:AF$1010&lt;&gt;0)*(AF$19:AF$1010&lt;&gt;"F"))))),"")</f>
        <v>ES</v>
      </c>
      <c r="AG9" s="45" t="str" cm="1">
        <f t="array" ref="AG9">+IFERROR(_xlfn.CONCAT(_xlfn.UNIQUE(_xlfn._xlws.FILTER(AG$19:AG$1010,(($A$19:$A$1010=$A9)*(AG$19:AG$1010&lt;&gt;0)*(AG$19:AG$1010&lt;&gt;"F"))))),"")</f>
        <v>ES</v>
      </c>
      <c r="AH9" s="46" t="str" cm="1">
        <f t="array" ref="AH9">+IFERROR(_xlfn.CONCAT(_xlfn.UNIQUE(_xlfn._xlws.FILTER(AH$19:AH$1010,(($A$19:$A$1010=$A9)*(AH$19:AH$1010&lt;&gt;0)*(AH$19:AH$1010&lt;&gt;"F"))))),"")</f>
        <v>PL</v>
      </c>
      <c r="AI9" s="46" t="str" cm="1">
        <f t="array" ref="AI9">+IFERROR(_xlfn.CONCAT(_xlfn.UNIQUE(_xlfn._xlws.FILTER(AI$19:AI$1010,(($A$19:$A$1010=$A9)*(AI$19:AI$1010&lt;&gt;0)*(AI$19:AI$1010&lt;&gt;"F"))))),"")</f>
        <v>DE</v>
      </c>
      <c r="AJ9" s="46" t="str" cm="1">
        <f t="array" ref="AJ9">+IFERROR(_xlfn.CONCAT(_xlfn.UNIQUE(_xlfn._xlws.FILTER(AJ$19:AJ$1010,(($A$19:$A$1010=$A9)*(AJ$19:AJ$1010&lt;&gt;0)*(AJ$19:AJ$1010&lt;&gt;"F"))))),"")</f>
        <v>DE</v>
      </c>
      <c r="AK9" s="47" t="str" cm="1">
        <f t="array" ref="AK9">+IFERROR(_xlfn.CONCAT(_xlfn.UNIQUE(_xlfn._xlws.FILTER(AK$19:AK$1010,(($A$19:$A$1010=$A9)*(AK$19:AK$1010&lt;&gt;0)*(AK$19:AK$1010&lt;&gt;"F"))))),"")</f>
        <v>DE</v>
      </c>
      <c r="AL9" s="45" t="str" cm="1">
        <f t="array" ref="AL9">+IFERROR(_xlfn.CONCAT(_xlfn.UNIQUE(_xlfn._xlws.FILTER(AL$19:AL$1010,(($A$19:$A$1010=$A9)*(AL$19:AL$1010&lt;&gt;0)*(AL$19:AL$1010&lt;&gt;"F"))))),"")</f>
        <v>DE</v>
      </c>
      <c r="AM9" s="46" t="str" cm="1">
        <f t="array" ref="AM9">+IFERROR(_xlfn.CONCAT(_xlfn.UNIQUE(_xlfn._xlws.FILTER(AM$19:AM$1010,(($A$19:$A$1010=$A9)*(AM$19:AM$1010&lt;&gt;0)*(AM$19:AM$1010&lt;&gt;"F"))))),"")</f>
        <v>DE</v>
      </c>
      <c r="AN9" s="46" t="str" cm="1">
        <f t="array" ref="AN9">+IFERROR(_xlfn.CONCAT(_xlfn.UNIQUE(_xlfn._xlws.FILTER(AN$19:AN$1010,(($A$19:$A$1010=$A9)*(AN$19:AN$1010&lt;&gt;0)*(AN$19:AN$1010&lt;&gt;"F"))))),"")</f>
        <v>DE</v>
      </c>
      <c r="AO9" s="47" t="str" cm="1">
        <f t="array" ref="AO9">+IFERROR(_xlfn.CONCAT(_xlfn.UNIQUE(_xlfn._xlws.FILTER(AO$19:AO$1010,(($A$19:$A$1010=$A9)*(AO$19:AO$1010&lt;&gt;0)*(AO$19:AO$1010&lt;&gt;"F"))))),"")</f>
        <v>DE</v>
      </c>
      <c r="AP9" s="45" t="str" cm="1">
        <f t="array" ref="AP9">+IFERROR(_xlfn.CONCAT(_xlfn.UNIQUE(_xlfn._xlws.FILTER(AP$19:AP$1010,(($A$19:$A$1010=$A9)*(AP$19:AP$1010&lt;&gt;0)*(AP$19:AP$1010&lt;&gt;"F"))))),"")</f>
        <v>DE</v>
      </c>
      <c r="AQ9" s="46" t="str" cm="1">
        <f t="array" ref="AQ9">+IFERROR(_xlfn.CONCAT(_xlfn.UNIQUE(_xlfn._xlws.FILTER(AQ$19:AQ$1010,(($A$19:$A$1010=$A9)*(AQ$19:AQ$1010&lt;&gt;0)*(AQ$19:AQ$1010&lt;&gt;"F"))))),"")</f>
        <v>DE</v>
      </c>
      <c r="AR9" s="46" t="str" cm="1">
        <f t="array" ref="AR9">+IFERROR(_xlfn.CONCAT(_xlfn.UNIQUE(_xlfn._xlws.FILTER(AR$19:AR$1010,(($A$19:$A$1010=$A9)*(AR$19:AR$1010&lt;&gt;0)*(AR$19:AR$1010&lt;&gt;"F"))))),"")</f>
        <v>DE</v>
      </c>
      <c r="AS9" s="47" t="str" cm="1">
        <f t="array" ref="AS9">+IFERROR(_xlfn.CONCAT(_xlfn.UNIQUE(_xlfn._xlws.FILTER(AS$19:AS$1010,(($A$19:$A$1010=$A9)*(AS$19:AS$1010&lt;&gt;0)*(AS$19:AS$1010&lt;&gt;"F"))))),"")</f>
        <v>DE</v>
      </c>
      <c r="AT9" s="45" t="str" cm="1">
        <f t="array" ref="AT9">+IFERROR(_xlfn.CONCAT(_xlfn.UNIQUE(_xlfn._xlws.FILTER(AT$19:AT$1010,(($A$19:$A$1010=$A9)*(AT$19:AT$1010&lt;&gt;0)*(AT$19:AT$1010&lt;&gt;"F"))))),"")</f>
        <v>DE</v>
      </c>
      <c r="AU9" s="46" t="str" cm="1">
        <f t="array" ref="AU9">+IFERROR(_xlfn.CONCAT(_xlfn.UNIQUE(_xlfn._xlws.FILTER(AU$19:AU$1010,(($A$19:$A$1010=$A9)*(AU$19:AU$1010&lt;&gt;0)*(AU$19:AU$1010&lt;&gt;"F"))))),"")</f>
        <v>DE</v>
      </c>
      <c r="AV9" s="46" t="str" cm="1">
        <f t="array" ref="AV9">+IFERROR(_xlfn.CONCAT(_xlfn.UNIQUE(_xlfn._xlws.FILTER(AV$19:AV$1010,(($A$19:$A$1010=$A9)*(AV$19:AV$1010&lt;&gt;0)*(AV$19:AV$1010&lt;&gt;"F"))))),"")</f>
        <v>DE</v>
      </c>
      <c r="AW9" s="46" t="str" cm="1">
        <f t="array" ref="AW9">+IFERROR(_xlfn.CONCAT(_xlfn.UNIQUE(_xlfn._xlws.FILTER(AW$19:AW$1010,(($A$19:$A$1010=$A9)*(AW$19:AW$1010&lt;&gt;0)*(AW$19:AW$1010&lt;&gt;"F"))))),"")</f>
        <v>DE</v>
      </c>
      <c r="AX9" s="47" t="str" cm="1">
        <f t="array" ref="AX9">+IFERROR(_xlfn.CONCAT(_xlfn.UNIQUE(_xlfn._xlws.FILTER(AX$19:AX$1010,(($A$19:$A$1010=$A9)*(AX$19:AX$1010&lt;&gt;0)*(AX$19:AX$1010&lt;&gt;"F"))))),"")</f>
        <v>DE</v>
      </c>
      <c r="AY9" s="45" t="str" cm="1">
        <f t="array" ref="AY9">+IFERROR(_xlfn.CONCAT(_xlfn.UNIQUE(_xlfn._xlws.FILTER(AY$19:AY$1010,(($A$19:$A$1010=$A9)*(AY$19:AY$1010&lt;&gt;0)*(AY$19:AY$1010&lt;&gt;"F"))))),"")</f>
        <v>QA</v>
      </c>
      <c r="AZ9" s="46" t="str" cm="1">
        <f t="array" ref="AZ9">+IFERROR(_xlfn.CONCAT(_xlfn.UNIQUE(_xlfn._xlws.FILTER(AZ$19:AZ$1010,(($A$19:$A$1010=$A9)*(AZ$19:AZ$1010&lt;&gt;0)*(AZ$19:AZ$1010&lt;&gt;"F"))))),"")</f>
        <v>HO</v>
      </c>
      <c r="BA9" s="46" t="str" cm="1">
        <f t="array" ref="BA9">+IFERROR(_xlfn.CONCAT(_xlfn.UNIQUE(_xlfn._xlws.FILTER(BA$19:BA$1010,(($A$19:$A$1010=$A9)*(BA$19:BA$1010&lt;&gt;0)*(BA$19:BA$1010&lt;&gt;"F"))))),"")</f>
        <v>HO</v>
      </c>
      <c r="BB9" s="47" t="str" cm="1">
        <f t="array" ref="BB9">+IFERROR(_xlfn.CONCAT(_xlfn.UNIQUE(_xlfn._xlws.FILTER(BB$19:BB$1010,(($A$19:$A$1010=$A9)*(BB$19:BB$1010&lt;&gt;0)*(BB$19:BB$1010&lt;&gt;"F"))))),"")</f>
        <v>HO</v>
      </c>
      <c r="BC9" s="45" t="str" cm="1">
        <f t="array" ref="BC9">+IFERROR(_xlfn.CONCAT(_xlfn.UNIQUE(_xlfn._xlws.FILTER(BC$19:BC$1010,(($A$19:$A$1010=$A9)*(BC$19:BC$1010&lt;&gt;0)*(BC$19:BC$1010&lt;&gt;"F"))))),"")</f>
        <v>OA</v>
      </c>
      <c r="BD9" s="46" t="str" cm="1">
        <f t="array" ref="BD9">+IFERROR(_xlfn.CONCAT(_xlfn.UNIQUE(_xlfn._xlws.FILTER(BD$19:BD$1010,(($A$19:$A$1010=$A9)*(BD$19:BD$1010&lt;&gt;0)*(BD$19:BD$1010&lt;&gt;"F"))))),"")</f>
        <v>OA</v>
      </c>
      <c r="BE9" s="46" t="str" cm="1">
        <f t="array" ref="BE9">+IFERROR(_xlfn.CONCAT(_xlfn.UNIQUE(_xlfn._xlws.FILTER(BE$19:BE$1010,(($A$19:$A$1010=$A9)*(BE$19:BE$1010&lt;&gt;0)*(BE$19:BE$1010&lt;&gt;"F"))))),"")</f>
        <v>OA</v>
      </c>
      <c r="BF9" s="47" t="str" cm="1">
        <f t="array" ref="BF9">+IFERROR(_xlfn.CONCAT(_xlfn.UNIQUE(_xlfn._xlws.FILTER(BF$19:BF$1010,(($A$19:$A$1010=$A9)*(BF$19:BF$1010&lt;&gt;0)*(BF$19:BF$1010&lt;&gt;"F"))))),"")</f>
        <v>OA</v>
      </c>
      <c r="BG9" s="45" t="str" cm="1">
        <f t="array" ref="BG9">+IFERROR(_xlfn.CONCAT(_xlfn.UNIQUE(_xlfn._xlws.FILTER(BG$19:BG$1010,(($A$19:$A$1010=$A9)*(BG$19:BG$1010&lt;&gt;0)*(BG$19:BG$1010&lt;&gt;"F"))))),"")</f>
        <v>EN</v>
      </c>
      <c r="BH9" s="46" t="str" cm="1">
        <f t="array" ref="BH9">+IFERROR(_xlfn.CONCAT(_xlfn.UNIQUE(_xlfn._xlws.FILTER(BH$19:BH$1010,(($A$19:$A$1010=$A9)*(BH$19:BH$1010&lt;&gt;0)*(BH$19:BH$1010&lt;&gt;"F"))))),"")</f>
        <v/>
      </c>
      <c r="BI9" s="46" t="str" cm="1">
        <f t="array" ref="BI9">+IFERROR(_xlfn.CONCAT(_xlfn.UNIQUE(_xlfn._xlws.FILTER(BI$19:BI$1010,(($A$19:$A$1010=$A9)*(BI$19:BI$1010&lt;&gt;0)*(BI$19:BI$1010&lt;&gt;"F"))))),"")</f>
        <v/>
      </c>
      <c r="BJ9" s="46" t="str" cm="1">
        <f t="array" ref="BJ9">+IFERROR(_xlfn.CONCAT(_xlfn.UNIQUE(_xlfn._xlws.FILTER(BJ$19:BJ$1010,(($A$19:$A$1010=$A9)*(BJ$19:BJ$1010&lt;&gt;0)*(BJ$19:BJ$1010&lt;&gt;"F"))))),"")</f>
        <v/>
      </c>
      <c r="BK9" s="47" t="str" cm="1">
        <f t="array" ref="BK9">+IFERROR(_xlfn.CONCAT(_xlfn.UNIQUE(_xlfn._xlws.FILTER(BK$19:BK$1010,(($A$19:$A$1010=$A9)*(BK$19:BK$1010&lt;&gt;0)*(BK$19:BK$1010&lt;&gt;"F"))))),"")</f>
        <v/>
      </c>
      <c r="BL9" s="45" t="str" cm="1">
        <f t="array" ref="BL9">+IFERROR(_xlfn.CONCAT(_xlfn.UNIQUE(_xlfn._xlws.FILTER(BL$19:BL$1010,(($A$19:$A$1010=$A9)*(BL$19:BL$1010&lt;&gt;0)*(BL$19:BL$1010&lt;&gt;"F"))))),"")</f>
        <v/>
      </c>
      <c r="BM9" s="46" t="str" cm="1">
        <f t="array" ref="BM9">+IFERROR(_xlfn.CONCAT(_xlfn.UNIQUE(_xlfn._xlws.FILTER(BM$19:BM$1010,(($A$19:$A$1010=$A9)*(BM$19:BM$1010&lt;&gt;0)*(BM$19:BM$1010&lt;&gt;"F"))))),"")</f>
        <v/>
      </c>
      <c r="BN9" s="46" t="str" cm="1">
        <f t="array" ref="BN9">+IFERROR(_xlfn.CONCAT(_xlfn.UNIQUE(_xlfn._xlws.FILTER(BN$19:BN$1010,(($A$19:$A$1010=$A9)*(BN$19:BN$1010&lt;&gt;0)*(BN$19:BN$1010&lt;&gt;"F"))))),"")</f>
        <v/>
      </c>
      <c r="BO9" s="47" t="str" cm="1">
        <f t="array" ref="BO9">+IFERROR(_xlfn.CONCAT(_xlfn.UNIQUE(_xlfn._xlws.FILTER(BO$19:BO$1010,(($A$19:$A$1010=$A9)*(BO$19:BO$1010&lt;&gt;0)*(BO$19:BO$1010&lt;&gt;"F"))))),"")</f>
        <v/>
      </c>
      <c r="BP9" s="45" t="str" cm="1">
        <f t="array" ref="BP9">+IFERROR(_xlfn.CONCAT(_xlfn.UNIQUE(_xlfn._xlws.FILTER(BP$19:BP$1010,(($A$19:$A$1010=$A9)*(BP$19:BP$1010&lt;&gt;0)*(BP$19:BP$1010&lt;&gt;"F"))))),"")</f>
        <v/>
      </c>
      <c r="BQ9" s="46" t="str" cm="1">
        <f t="array" ref="BQ9">+IFERROR(_xlfn.CONCAT(_xlfn.UNIQUE(_xlfn._xlws.FILTER(BQ$19:BQ$1010,(($A$19:$A$1010=$A9)*(BQ$19:BQ$1010&lt;&gt;0)*(BQ$19:BQ$1010&lt;&gt;"F"))))),"")</f>
        <v/>
      </c>
      <c r="BR9" s="46" t="str" cm="1">
        <f t="array" ref="BR9">+IFERROR(_xlfn.CONCAT(_xlfn.UNIQUE(_xlfn._xlws.FILTER(BR$19:BR$1010,(($A$19:$A$1010=$A9)*(BR$19:BR$1010&lt;&gt;0)*(BR$19:BR$1010&lt;&gt;"F"))))),"")</f>
        <v/>
      </c>
      <c r="BS9" s="47" t="str" cm="1">
        <f t="array" ref="BS9">+IFERROR(_xlfn.CONCAT(_xlfn.UNIQUE(_xlfn._xlws.FILTER(BS$19:BS$1010,(($A$19:$A$1010=$A9)*(BS$19:BS$1010&lt;&gt;0)*(BS$19:BS$1010&lt;&gt;"F"))))),"")</f>
        <v/>
      </c>
    </row>
    <row r="10" spans="1:71" s="13" customFormat="1" ht="39.9" customHeight="1" x14ac:dyDescent="0.3">
      <c r="A10" s="57" t="str">
        <v>IMPLANTACAO DO SISTEMA DE TORRE DE MONITORAMENTO - FASE 2</v>
      </c>
      <c r="B10" s="27"/>
      <c r="C10" s="28">
        <v>6900000</v>
      </c>
      <c r="D10" s="29" t="str">
        <v>Implantação</v>
      </c>
      <c r="E10" s="29" t="str">
        <v>Implantação Sistema Terceiro</v>
      </c>
      <c r="F10" s="29" t="str">
        <v>Alta</v>
      </c>
      <c r="G10" s="45" t="str" cm="1">
        <f t="array" ref="G10">+IFERROR(_xlfn.CONCAT(_xlfn.UNIQUE(_xlfn._xlws.FILTER(G$19:G$1010,(($A$19:$A$1010=$A10)*(G$19:G$1010&lt;&gt;0)*(G$19:G$1010&lt;&gt;"F"))))),"")</f>
        <v/>
      </c>
      <c r="H10" s="46" t="str" cm="1">
        <f t="array" ref="H10">+IFERROR(_xlfn.CONCAT(_xlfn.UNIQUE(_xlfn._xlws.FILTER(H$19:H$1010,(($A$19:$A$1010=$A10)*(H$19:H$1010&lt;&gt;0)*(H$19:H$1010&lt;&gt;"F"))))),"")</f>
        <v/>
      </c>
      <c r="I10" s="46" t="str" cm="1">
        <f t="array" ref="I10">+IFERROR(_xlfn.CONCAT(_xlfn.UNIQUE(_xlfn._xlws.FILTER(I$19:I$1010,(($A$19:$A$1010=$A10)*(I$19:I$1010&lt;&gt;0)*(I$19:I$1010&lt;&gt;"F"))))),"")</f>
        <v/>
      </c>
      <c r="J10" s="46" t="str" cm="1">
        <f t="array" ref="J10">+IFERROR(_xlfn.CONCAT(_xlfn.UNIQUE(_xlfn._xlws.FILTER(J$19:J$1010,(($A$19:$A$1010=$A10)*(J$19:J$1010&lt;&gt;0)*(J$19:J$1010&lt;&gt;"F"))))),"")</f>
        <v/>
      </c>
      <c r="K10" s="47" t="str" cm="1">
        <f t="array" ref="K10">+IFERROR(_xlfn.CONCAT(_xlfn.UNIQUE(_xlfn._xlws.FILTER(K$19:K$1010,(($A$19:$A$1010=$A10)*(K$19:K$1010&lt;&gt;0)*(K$19:K$1010&lt;&gt;"F"))))),"")</f>
        <v/>
      </c>
      <c r="L10" s="45" t="str" cm="1">
        <f t="array" ref="L10">+IFERROR(_xlfn.CONCAT(_xlfn.UNIQUE(_xlfn._xlws.FILTER(L$19:L$1010,(($A$19:$A$1010=$A10)*(L$19:L$1010&lt;&gt;0)*(L$19:L$1010&lt;&gt;"F"))))),"")</f>
        <v/>
      </c>
      <c r="M10" s="46" t="str" cm="1">
        <f t="array" ref="M10">+IFERROR(_xlfn.CONCAT(_xlfn.UNIQUE(_xlfn._xlws.FILTER(M$19:M$1010,(($A$19:$A$1010=$A10)*(M$19:M$1010&lt;&gt;0)*(M$19:M$1010&lt;&gt;"F"))))),"")</f>
        <v/>
      </c>
      <c r="N10" s="46" t="str" cm="1">
        <f t="array" ref="N10">+IFERROR(_xlfn.CONCAT(_xlfn.UNIQUE(_xlfn._xlws.FILTER(N$19:N$1010,(($A$19:$A$1010=$A10)*(N$19:N$1010&lt;&gt;0)*(N$19:N$1010&lt;&gt;"F"))))),"")</f>
        <v/>
      </c>
      <c r="O10" s="47" t="str" cm="1">
        <f t="array" ref="O10">+IFERROR(_xlfn.CONCAT(_xlfn.UNIQUE(_xlfn._xlws.FILTER(O$19:O$1010,(($A$19:$A$1010=$A10)*(O$19:O$1010&lt;&gt;0)*(O$19:O$1010&lt;&gt;"F"))))),"")</f>
        <v/>
      </c>
      <c r="P10" s="45" t="str" cm="1">
        <f t="array" ref="P10">+IFERROR(_xlfn.CONCAT(_xlfn.UNIQUE(_xlfn._xlws.FILTER(P$19:P$1010,(($A$19:$A$1010=$A10)*(P$19:P$1010&lt;&gt;0)*(P$19:P$1010&lt;&gt;"F"))))),"")</f>
        <v/>
      </c>
      <c r="Q10" s="46" t="str" cm="1">
        <f t="array" ref="Q10">+IFERROR(_xlfn.CONCAT(_xlfn.UNIQUE(_xlfn._xlws.FILTER(Q$19:Q$1010,(($A$19:$A$1010=$A10)*(Q$19:Q$1010&lt;&gt;0)*(Q$19:Q$1010&lt;&gt;"F"))))),"")</f>
        <v/>
      </c>
      <c r="R10" s="46" t="str" cm="1">
        <f t="array" ref="R10">+IFERROR(_xlfn.CONCAT(_xlfn.UNIQUE(_xlfn._xlws.FILTER(R$19:R$1010,(($A$19:$A$1010=$A10)*(R$19:R$1010&lt;&gt;0)*(R$19:R$1010&lt;&gt;"F"))))),"")</f>
        <v/>
      </c>
      <c r="S10" s="47" t="str" cm="1">
        <f t="array" ref="S10">+IFERROR(_xlfn.CONCAT(_xlfn.UNIQUE(_xlfn._xlws.FILTER(S$19:S$1010,(($A$19:$A$1010=$A10)*(S$19:S$1010&lt;&gt;0)*(S$19:S$1010&lt;&gt;"F"))))),"")</f>
        <v/>
      </c>
      <c r="T10" s="45" t="str" cm="1">
        <f t="array" ref="T10">+IFERROR(_xlfn.CONCAT(_xlfn.UNIQUE(_xlfn._xlws.FILTER(T$19:T$1010,(($A$19:$A$1010=$A10)*(T$19:T$1010&lt;&gt;0)*(T$19:T$1010&lt;&gt;"F"))))),"")</f>
        <v/>
      </c>
      <c r="U10" s="46" t="str" cm="1">
        <f t="array" ref="U10">+IFERROR(_xlfn.CONCAT(_xlfn.UNIQUE(_xlfn._xlws.FILTER(U$19:U$1010,(($A$19:$A$1010=$A10)*(U$19:U$1010&lt;&gt;0)*(U$19:U$1010&lt;&gt;"F"))))),"")</f>
        <v/>
      </c>
      <c r="V10" s="46" t="str" cm="1">
        <f t="array" ref="V10">+IFERROR(_xlfn.CONCAT(_xlfn.UNIQUE(_xlfn._xlws.FILTER(V$19:V$1010,(($A$19:$A$1010=$A10)*(V$19:V$1010&lt;&gt;0)*(V$19:V$1010&lt;&gt;"F"))))),"")</f>
        <v/>
      </c>
      <c r="W10" s="46" t="str" cm="1">
        <f t="array" ref="W10">+IFERROR(_xlfn.CONCAT(_xlfn.UNIQUE(_xlfn._xlws.FILTER(W$19:W$1010,(($A$19:$A$1010=$A10)*(W$19:W$1010&lt;&gt;0)*(W$19:W$1010&lt;&gt;"F"))))),"")</f>
        <v/>
      </c>
      <c r="X10" s="47" t="str" cm="1">
        <f t="array" ref="X10">+IFERROR(_xlfn.CONCAT(_xlfn.UNIQUE(_xlfn._xlws.FILTER(X$19:X$1010,(($A$19:$A$1010=$A10)*(X$19:X$1010&lt;&gt;0)*(X$19:X$1010&lt;&gt;"F"))))),"")</f>
        <v/>
      </c>
      <c r="Y10" s="45" t="str" cm="1">
        <f t="array" ref="Y10">+IFERROR(_xlfn.CONCAT(_xlfn.UNIQUE(_xlfn._xlws.FILTER(Y$19:Y$1010,(($A$19:$A$1010=$A10)*(Y$19:Y$1010&lt;&gt;0)*(Y$19:Y$1010&lt;&gt;"F"))))),"")</f>
        <v/>
      </c>
      <c r="Z10" s="46" t="str" cm="1">
        <f t="array" ref="Z10">+IFERROR(_xlfn.CONCAT(_xlfn.UNIQUE(_xlfn._xlws.FILTER(Z$19:Z$1010,(($A$19:$A$1010=$A10)*(Z$19:Z$1010&lt;&gt;0)*(Z$19:Z$1010&lt;&gt;"F"))))),"")</f>
        <v/>
      </c>
      <c r="AA10" s="46" t="str" cm="1">
        <f t="array" ref="AA10">+IFERROR(_xlfn.CONCAT(_xlfn.UNIQUE(_xlfn._xlws.FILTER(AA$19:AA$1010,(($A$19:$A$1010=$A10)*(AA$19:AA$1010&lt;&gt;0)*(AA$19:AA$1010&lt;&gt;"F"))))),"")</f>
        <v/>
      </c>
      <c r="AB10" s="47" t="str" cm="1">
        <f t="array" ref="AB10">+IFERROR(_xlfn.CONCAT(_xlfn.UNIQUE(_xlfn._xlws.FILTER(AB$19:AB$1010,(($A$19:$A$1010=$A10)*(AB$19:AB$1010&lt;&gt;0)*(AB$19:AB$1010&lt;&gt;"F"))))),"")</f>
        <v/>
      </c>
      <c r="AC10" s="45" t="str" cm="1">
        <f t="array" ref="AC10">+IFERROR(_xlfn.CONCAT(_xlfn.UNIQUE(_xlfn._xlws.FILTER(AC$19:AC$1010,(($A$19:$A$1010=$A10)*(AC$19:AC$1010&lt;&gt;0)*(AC$19:AC$1010&lt;&gt;"F"))))),"")</f>
        <v/>
      </c>
      <c r="AD10" s="46" t="str" cm="1">
        <f t="array" ref="AD10">+IFERROR(_xlfn.CONCAT(_xlfn.UNIQUE(_xlfn._xlws.FILTER(AD$19:AD$1010,(($A$19:$A$1010=$A10)*(AD$19:AD$1010&lt;&gt;0)*(AD$19:AD$1010&lt;&gt;"F"))))),"")</f>
        <v/>
      </c>
      <c r="AE10" s="46" t="str" cm="1">
        <f t="array" ref="AE10">+IFERROR(_xlfn.CONCAT(_xlfn.UNIQUE(_xlfn._xlws.FILTER(AE$19:AE$1010,(($A$19:$A$1010=$A10)*(AE$19:AE$1010&lt;&gt;0)*(AE$19:AE$1010&lt;&gt;"F"))))),"")</f>
        <v/>
      </c>
      <c r="AF10" s="47" t="str" cm="1">
        <f t="array" ref="AF10">+IFERROR(_xlfn.CONCAT(_xlfn.UNIQUE(_xlfn._xlws.FILTER(AF$19:AF$1010,(($A$19:$A$1010=$A10)*(AF$19:AF$1010&lt;&gt;0)*(AF$19:AF$1010&lt;&gt;"F"))))),"")</f>
        <v/>
      </c>
      <c r="AG10" s="45" t="str" cm="1">
        <f t="array" ref="AG10">+IFERROR(_xlfn.CONCAT(_xlfn.UNIQUE(_xlfn._xlws.FILTER(AG$19:AG$1010,(($A$19:$A$1010=$A10)*(AG$19:AG$1010&lt;&gt;0)*(AG$19:AG$1010&lt;&gt;"F"))))),"")</f>
        <v/>
      </c>
      <c r="AH10" s="46" t="str" cm="1">
        <f t="array" ref="AH10">+IFERROR(_xlfn.CONCAT(_xlfn.UNIQUE(_xlfn._xlws.FILTER(AH$19:AH$1010,(($A$19:$A$1010=$A10)*(AH$19:AH$1010&lt;&gt;0)*(AH$19:AH$1010&lt;&gt;"F"))))),"")</f>
        <v/>
      </c>
      <c r="AI10" s="46" t="str" cm="1">
        <f t="array" ref="AI10">+IFERROR(_xlfn.CONCAT(_xlfn.UNIQUE(_xlfn._xlws.FILTER(AI$19:AI$1010,(($A$19:$A$1010=$A10)*(AI$19:AI$1010&lt;&gt;0)*(AI$19:AI$1010&lt;&gt;"F"))))),"")</f>
        <v/>
      </c>
      <c r="AJ10" s="46" t="str" cm="1">
        <f t="array" ref="AJ10">+IFERROR(_xlfn.CONCAT(_xlfn.UNIQUE(_xlfn._xlws.FILTER(AJ$19:AJ$1010,(($A$19:$A$1010=$A10)*(AJ$19:AJ$1010&lt;&gt;0)*(AJ$19:AJ$1010&lt;&gt;"F"))))),"")</f>
        <v/>
      </c>
      <c r="AK10" s="47" t="str" cm="1">
        <f t="array" ref="AK10">+IFERROR(_xlfn.CONCAT(_xlfn.UNIQUE(_xlfn._xlws.FILTER(AK$19:AK$1010,(($A$19:$A$1010=$A10)*(AK$19:AK$1010&lt;&gt;0)*(AK$19:AK$1010&lt;&gt;"F"))))),"")</f>
        <v/>
      </c>
      <c r="AL10" s="45" t="str" cm="1">
        <f t="array" ref="AL10">+IFERROR(_xlfn.CONCAT(_xlfn.UNIQUE(_xlfn._xlws.FILTER(AL$19:AL$1010,(($A$19:$A$1010=$A10)*(AL$19:AL$1010&lt;&gt;0)*(AL$19:AL$1010&lt;&gt;"F"))))),"")</f>
        <v/>
      </c>
      <c r="AM10" s="46" t="str" cm="1">
        <f t="array" ref="AM10">+IFERROR(_xlfn.CONCAT(_xlfn.UNIQUE(_xlfn._xlws.FILTER(AM$19:AM$1010,(($A$19:$A$1010=$A10)*(AM$19:AM$1010&lt;&gt;0)*(AM$19:AM$1010&lt;&gt;"F"))))),"")</f>
        <v/>
      </c>
      <c r="AN10" s="46" t="str" cm="1">
        <f t="array" ref="AN10">+IFERROR(_xlfn.CONCAT(_xlfn.UNIQUE(_xlfn._xlws.FILTER(AN$19:AN$1010,(($A$19:$A$1010=$A10)*(AN$19:AN$1010&lt;&gt;0)*(AN$19:AN$1010&lt;&gt;"F"))))),"")</f>
        <v/>
      </c>
      <c r="AO10" s="47" t="str" cm="1">
        <f t="array" ref="AO10">+IFERROR(_xlfn.CONCAT(_xlfn.UNIQUE(_xlfn._xlws.FILTER(AO$19:AO$1010,(($A$19:$A$1010=$A10)*(AO$19:AO$1010&lt;&gt;0)*(AO$19:AO$1010&lt;&gt;"F"))))),"")</f>
        <v/>
      </c>
      <c r="AP10" s="45" t="str" cm="1">
        <f t="array" ref="AP10">+IFERROR(_xlfn.CONCAT(_xlfn.UNIQUE(_xlfn._xlws.FILTER(AP$19:AP$1010,(($A$19:$A$1010=$A10)*(AP$19:AP$1010&lt;&gt;0)*(AP$19:AP$1010&lt;&gt;"F"))))),"")</f>
        <v/>
      </c>
      <c r="AQ10" s="46" t="str" cm="1">
        <f t="array" ref="AQ10">+IFERROR(_xlfn.CONCAT(_xlfn.UNIQUE(_xlfn._xlws.FILTER(AQ$19:AQ$1010,(($A$19:$A$1010=$A10)*(AQ$19:AQ$1010&lt;&gt;0)*(AQ$19:AQ$1010&lt;&gt;"F"))))),"")</f>
        <v/>
      </c>
      <c r="AR10" s="46" t="str" cm="1">
        <f t="array" ref="AR10">+IFERROR(_xlfn.CONCAT(_xlfn.UNIQUE(_xlfn._xlws.FILTER(AR$19:AR$1010,(($A$19:$A$1010=$A10)*(AR$19:AR$1010&lt;&gt;0)*(AR$19:AR$1010&lt;&gt;"F"))))),"")</f>
        <v/>
      </c>
      <c r="AS10" s="47" t="str" cm="1">
        <f t="array" ref="AS10">+IFERROR(_xlfn.CONCAT(_xlfn.UNIQUE(_xlfn._xlws.FILTER(AS$19:AS$1010,(($A$19:$A$1010=$A10)*(AS$19:AS$1010&lt;&gt;0)*(AS$19:AS$1010&lt;&gt;"F"))))),"")</f>
        <v/>
      </c>
      <c r="AT10" s="45" t="str" cm="1">
        <f t="array" ref="AT10">+IFERROR(_xlfn.CONCAT(_xlfn.UNIQUE(_xlfn._xlws.FILTER(AT$19:AT$1010,(($A$19:$A$1010=$A10)*(AT$19:AT$1010&lt;&gt;0)*(AT$19:AT$1010&lt;&gt;"F"))))),"")</f>
        <v/>
      </c>
      <c r="AU10" s="46" t="str" cm="1">
        <f t="array" ref="AU10">+IFERROR(_xlfn.CONCAT(_xlfn.UNIQUE(_xlfn._xlws.FILTER(AU$19:AU$1010,(($A$19:$A$1010=$A10)*(AU$19:AU$1010&lt;&gt;0)*(AU$19:AU$1010&lt;&gt;"F"))))),"")</f>
        <v/>
      </c>
      <c r="AV10" s="46" t="str" cm="1">
        <f t="array" ref="AV10">+IFERROR(_xlfn.CONCAT(_xlfn.UNIQUE(_xlfn._xlws.FILTER(AV$19:AV$1010,(($A$19:$A$1010=$A10)*(AV$19:AV$1010&lt;&gt;0)*(AV$19:AV$1010&lt;&gt;"F"))))),"")</f>
        <v/>
      </c>
      <c r="AW10" s="46" t="str" cm="1">
        <f t="array" ref="AW10">+IFERROR(_xlfn.CONCAT(_xlfn.UNIQUE(_xlfn._xlws.FILTER(AW$19:AW$1010,(($A$19:$A$1010=$A10)*(AW$19:AW$1010&lt;&gt;0)*(AW$19:AW$1010&lt;&gt;"F"))))),"")</f>
        <v/>
      </c>
      <c r="AX10" s="47" t="str" cm="1">
        <f t="array" ref="AX10">+IFERROR(_xlfn.CONCAT(_xlfn.UNIQUE(_xlfn._xlws.FILTER(AX$19:AX$1010,(($A$19:$A$1010=$A10)*(AX$19:AX$1010&lt;&gt;0)*(AX$19:AX$1010&lt;&gt;"F"))))),"")</f>
        <v/>
      </c>
      <c r="AY10" s="45" t="str" cm="1">
        <f t="array" ref="AY10">+IFERROR(_xlfn.CONCAT(_xlfn.UNIQUE(_xlfn._xlws.FILTER(AY$19:AY$1010,(($A$19:$A$1010=$A10)*(AY$19:AY$1010&lt;&gt;0)*(AY$19:AY$1010&lt;&gt;"F"))))),"")</f>
        <v/>
      </c>
      <c r="AZ10" s="46" t="str" cm="1">
        <f t="array" ref="AZ10">+IFERROR(_xlfn.CONCAT(_xlfn.UNIQUE(_xlfn._xlws.FILTER(AZ$19:AZ$1010,(($A$19:$A$1010=$A10)*(AZ$19:AZ$1010&lt;&gt;0)*(AZ$19:AZ$1010&lt;&gt;"F"))))),"")</f>
        <v/>
      </c>
      <c r="BA10" s="46" t="str" cm="1">
        <f t="array" ref="BA10">+IFERROR(_xlfn.CONCAT(_xlfn.UNIQUE(_xlfn._xlws.FILTER(BA$19:BA$1010,(($A$19:$A$1010=$A10)*(BA$19:BA$1010&lt;&gt;0)*(BA$19:BA$1010&lt;&gt;"F"))))),"")</f>
        <v/>
      </c>
      <c r="BB10" s="47" t="str" cm="1">
        <f t="array" ref="BB10">+IFERROR(_xlfn.CONCAT(_xlfn.UNIQUE(_xlfn._xlws.FILTER(BB$19:BB$1010,(($A$19:$A$1010=$A10)*(BB$19:BB$1010&lt;&gt;0)*(BB$19:BB$1010&lt;&gt;"F"))))),"")</f>
        <v/>
      </c>
      <c r="BC10" s="45" t="str" cm="1">
        <f t="array" ref="BC10">+IFERROR(_xlfn.CONCAT(_xlfn.UNIQUE(_xlfn._xlws.FILTER(BC$19:BC$1010,(($A$19:$A$1010=$A10)*(BC$19:BC$1010&lt;&gt;0)*(BC$19:BC$1010&lt;&gt;"F"))))),"")</f>
        <v/>
      </c>
      <c r="BD10" s="46" t="str" cm="1">
        <f t="array" ref="BD10">+IFERROR(_xlfn.CONCAT(_xlfn.UNIQUE(_xlfn._xlws.FILTER(BD$19:BD$1010,(($A$19:$A$1010=$A10)*(BD$19:BD$1010&lt;&gt;0)*(BD$19:BD$1010&lt;&gt;"F"))))),"")</f>
        <v/>
      </c>
      <c r="BE10" s="46" t="str" cm="1">
        <f t="array" ref="BE10">+IFERROR(_xlfn.CONCAT(_xlfn.UNIQUE(_xlfn._xlws.FILTER(BE$19:BE$1010,(($A$19:$A$1010=$A10)*(BE$19:BE$1010&lt;&gt;0)*(BE$19:BE$1010&lt;&gt;"F"))))),"")</f>
        <v/>
      </c>
      <c r="BF10" s="47" t="str" cm="1">
        <f t="array" ref="BF10">+IFERROR(_xlfn.CONCAT(_xlfn.UNIQUE(_xlfn._xlws.FILTER(BF$19:BF$1010,(($A$19:$A$1010=$A10)*(BF$19:BF$1010&lt;&gt;0)*(BF$19:BF$1010&lt;&gt;"F"))))),"")</f>
        <v/>
      </c>
      <c r="BG10" s="45" t="str" cm="1">
        <f t="array" ref="BG10">+IFERROR(_xlfn.CONCAT(_xlfn.UNIQUE(_xlfn._xlws.FILTER(BG$19:BG$1010,(($A$19:$A$1010=$A10)*(BG$19:BG$1010&lt;&gt;0)*(BG$19:BG$1010&lt;&gt;"F"))))),"")</f>
        <v/>
      </c>
      <c r="BH10" s="46" t="str" cm="1">
        <f t="array" ref="BH10">+IFERROR(_xlfn.CONCAT(_xlfn.UNIQUE(_xlfn._xlws.FILTER(BH$19:BH$1010,(($A$19:$A$1010=$A10)*(BH$19:BH$1010&lt;&gt;0)*(BH$19:BH$1010&lt;&gt;"F"))))),"")</f>
        <v/>
      </c>
      <c r="BI10" s="46" t="str" cm="1">
        <f t="array" ref="BI10">+IFERROR(_xlfn.CONCAT(_xlfn.UNIQUE(_xlfn._xlws.FILTER(BI$19:BI$1010,(($A$19:$A$1010=$A10)*(BI$19:BI$1010&lt;&gt;0)*(BI$19:BI$1010&lt;&gt;"F"))))),"")</f>
        <v/>
      </c>
      <c r="BJ10" s="46" t="str" cm="1">
        <f t="array" ref="BJ10">+IFERROR(_xlfn.CONCAT(_xlfn.UNIQUE(_xlfn._xlws.FILTER(BJ$19:BJ$1010,(($A$19:$A$1010=$A10)*(BJ$19:BJ$1010&lt;&gt;0)*(BJ$19:BJ$1010&lt;&gt;"F"))))),"")</f>
        <v/>
      </c>
      <c r="BK10" s="47" t="str" cm="1">
        <f t="array" ref="BK10">+IFERROR(_xlfn.CONCAT(_xlfn.UNIQUE(_xlfn._xlws.FILTER(BK$19:BK$1010,(($A$19:$A$1010=$A10)*(BK$19:BK$1010&lt;&gt;0)*(BK$19:BK$1010&lt;&gt;"F"))))),"")</f>
        <v/>
      </c>
      <c r="BL10" s="45" t="str" cm="1">
        <f t="array" ref="BL10">+IFERROR(_xlfn.CONCAT(_xlfn.UNIQUE(_xlfn._xlws.FILTER(BL$19:BL$1010,(($A$19:$A$1010=$A10)*(BL$19:BL$1010&lt;&gt;0)*(BL$19:BL$1010&lt;&gt;"F"))))),"")</f>
        <v/>
      </c>
      <c r="BM10" s="46" t="str" cm="1">
        <f t="array" ref="BM10">+IFERROR(_xlfn.CONCAT(_xlfn.UNIQUE(_xlfn._xlws.FILTER(BM$19:BM$1010,(($A$19:$A$1010=$A10)*(BM$19:BM$1010&lt;&gt;0)*(BM$19:BM$1010&lt;&gt;"F"))))),"")</f>
        <v/>
      </c>
      <c r="BN10" s="46" t="str" cm="1">
        <f t="array" ref="BN10">+IFERROR(_xlfn.CONCAT(_xlfn.UNIQUE(_xlfn._xlws.FILTER(BN$19:BN$1010,(($A$19:$A$1010=$A10)*(BN$19:BN$1010&lt;&gt;0)*(BN$19:BN$1010&lt;&gt;"F"))))),"")</f>
        <v/>
      </c>
      <c r="BO10" s="47" t="str" cm="1">
        <f t="array" ref="BO10">+IFERROR(_xlfn.CONCAT(_xlfn.UNIQUE(_xlfn._xlws.FILTER(BO$19:BO$1010,(($A$19:$A$1010=$A10)*(BO$19:BO$1010&lt;&gt;0)*(BO$19:BO$1010&lt;&gt;"F"))))),"")</f>
        <v/>
      </c>
      <c r="BP10" s="45" t="str" cm="1">
        <f t="array" ref="BP10">+IFERROR(_xlfn.CONCAT(_xlfn.UNIQUE(_xlfn._xlws.FILTER(BP$19:BP$1010,(($A$19:$A$1010=$A10)*(BP$19:BP$1010&lt;&gt;0)*(BP$19:BP$1010&lt;&gt;"F"))))),"")</f>
        <v/>
      </c>
      <c r="BQ10" s="46" t="str" cm="1">
        <f t="array" ref="BQ10">+IFERROR(_xlfn.CONCAT(_xlfn.UNIQUE(_xlfn._xlws.FILTER(BQ$19:BQ$1010,(($A$19:$A$1010=$A10)*(BQ$19:BQ$1010&lt;&gt;0)*(BQ$19:BQ$1010&lt;&gt;"F"))))),"")</f>
        <v/>
      </c>
      <c r="BR10" s="46" t="str" cm="1">
        <f t="array" ref="BR10">+IFERROR(_xlfn.CONCAT(_xlfn.UNIQUE(_xlfn._xlws.FILTER(BR$19:BR$1010,(($A$19:$A$1010=$A10)*(BR$19:BR$1010&lt;&gt;0)*(BR$19:BR$1010&lt;&gt;"F"))))),"")</f>
        <v/>
      </c>
      <c r="BS10" s="47" t="str" cm="1">
        <f t="array" ref="BS10">+IFERROR(_xlfn.CONCAT(_xlfn.UNIQUE(_xlfn._xlws.FILTER(BS$19:BS$1010,(($A$19:$A$1010=$A10)*(BS$19:BS$1010&lt;&gt;0)*(BS$19:BS$1010&lt;&gt;"F"))))),"")</f>
        <v/>
      </c>
    </row>
    <row r="11" spans="1:71" s="13" customFormat="1" ht="39.9" customHeight="1" x14ac:dyDescent="0.3">
      <c r="A11" s="57" t="str">
        <v>CENTRAL DE CADASTRO</v>
      </c>
      <c r="B11" s="27"/>
      <c r="C11" s="28">
        <v>0</v>
      </c>
      <c r="D11" s="29" t="str">
        <v>Melhoria de Processo</v>
      </c>
      <c r="E11" s="29" t="str">
        <v>Evolução, Melhoria ou Adequação</v>
      </c>
      <c r="F11" s="29" t="str">
        <v>Alta</v>
      </c>
      <c r="G11" s="45" t="str" cm="1">
        <f t="array" ref="G11">+IFERROR(_xlfn.CONCAT(_xlfn.UNIQUE(_xlfn._xlws.FILTER(G$19:G$1010,(($A$19:$A$1010=$A11)*(G$19:G$1010&lt;&gt;0)*(G$19:G$1010&lt;&gt;"F"))))),"")</f>
        <v/>
      </c>
      <c r="H11" s="46" t="str" cm="1">
        <f t="array" ref="H11">+IFERROR(_xlfn.CONCAT(_xlfn.UNIQUE(_xlfn._xlws.FILTER(H$19:H$1010,(($A$19:$A$1010=$A11)*(H$19:H$1010&lt;&gt;0)*(H$19:H$1010&lt;&gt;"F"))))),"")</f>
        <v/>
      </c>
      <c r="I11" s="46" t="str" cm="1">
        <f t="array" ref="I11">+IFERROR(_xlfn.CONCAT(_xlfn.UNIQUE(_xlfn._xlws.FILTER(I$19:I$1010,(($A$19:$A$1010=$A11)*(I$19:I$1010&lt;&gt;0)*(I$19:I$1010&lt;&gt;"F"))))),"")</f>
        <v/>
      </c>
      <c r="J11" s="46" t="str" cm="1">
        <f t="array" ref="J11">+IFERROR(_xlfn.CONCAT(_xlfn.UNIQUE(_xlfn._xlws.FILTER(J$19:J$1010,(($A$19:$A$1010=$A11)*(J$19:J$1010&lt;&gt;0)*(J$19:J$1010&lt;&gt;"F"))))),"")</f>
        <v/>
      </c>
      <c r="K11" s="47" t="str" cm="1">
        <f t="array" ref="K11">+IFERROR(_xlfn.CONCAT(_xlfn.UNIQUE(_xlfn._xlws.FILTER(K$19:K$1010,(($A$19:$A$1010=$A11)*(K$19:K$1010&lt;&gt;0)*(K$19:K$1010&lt;&gt;"F"))))),"")</f>
        <v/>
      </c>
      <c r="L11" s="45" t="str" cm="1">
        <f t="array" ref="L11">+IFERROR(_xlfn.CONCAT(_xlfn.UNIQUE(_xlfn._xlws.FILTER(L$19:L$1010,(($A$19:$A$1010=$A11)*(L$19:L$1010&lt;&gt;0)*(L$19:L$1010&lt;&gt;"F"))))),"")</f>
        <v/>
      </c>
      <c r="M11" s="46" t="str" cm="1">
        <f t="array" ref="M11">+IFERROR(_xlfn.CONCAT(_xlfn.UNIQUE(_xlfn._xlws.FILTER(M$19:M$1010,(($A$19:$A$1010=$A11)*(M$19:M$1010&lt;&gt;0)*(M$19:M$1010&lt;&gt;"F"))))),"")</f>
        <v/>
      </c>
      <c r="N11" s="46" t="str" cm="1">
        <f t="array" ref="N11">+IFERROR(_xlfn.CONCAT(_xlfn.UNIQUE(_xlfn._xlws.FILTER(N$19:N$1010,(($A$19:$A$1010=$A11)*(N$19:N$1010&lt;&gt;0)*(N$19:N$1010&lt;&gt;"F"))))),"")</f>
        <v/>
      </c>
      <c r="O11" s="47" t="str" cm="1">
        <f t="array" ref="O11">+IFERROR(_xlfn.CONCAT(_xlfn.UNIQUE(_xlfn._xlws.FILTER(O$19:O$1010,(($A$19:$A$1010=$A11)*(O$19:O$1010&lt;&gt;0)*(O$19:O$1010&lt;&gt;"F"))))),"")</f>
        <v/>
      </c>
      <c r="P11" s="45" t="str" cm="1">
        <f t="array" ref="P11">+IFERROR(_xlfn.CONCAT(_xlfn.UNIQUE(_xlfn._xlws.FILTER(P$19:P$1010,(($A$19:$A$1010=$A11)*(P$19:P$1010&lt;&gt;0)*(P$19:P$1010&lt;&gt;"F"))))),"")</f>
        <v/>
      </c>
      <c r="Q11" s="46" t="str" cm="1">
        <f t="array" ref="Q11">+IFERROR(_xlfn.CONCAT(_xlfn.UNIQUE(_xlfn._xlws.FILTER(Q$19:Q$1010,(($A$19:$A$1010=$A11)*(Q$19:Q$1010&lt;&gt;0)*(Q$19:Q$1010&lt;&gt;"F"))))),"")</f>
        <v/>
      </c>
      <c r="R11" s="46" t="str" cm="1">
        <f t="array" ref="R11">+IFERROR(_xlfn.CONCAT(_xlfn.UNIQUE(_xlfn._xlws.FILTER(R$19:R$1010,(($A$19:$A$1010=$A11)*(R$19:R$1010&lt;&gt;0)*(R$19:R$1010&lt;&gt;"F"))))),"")</f>
        <v/>
      </c>
      <c r="S11" s="47" t="str" cm="1">
        <f t="array" ref="S11">+IFERROR(_xlfn.CONCAT(_xlfn.UNIQUE(_xlfn._xlws.FILTER(S$19:S$1010,(($A$19:$A$1010=$A11)*(S$19:S$1010&lt;&gt;0)*(S$19:S$1010&lt;&gt;"F"))))),"")</f>
        <v/>
      </c>
      <c r="T11" s="45" t="str" cm="1">
        <f t="array" ref="T11">+IFERROR(_xlfn.CONCAT(_xlfn.UNIQUE(_xlfn._xlws.FILTER(T$19:T$1010,(($A$19:$A$1010=$A11)*(T$19:T$1010&lt;&gt;0)*(T$19:T$1010&lt;&gt;"F"))))),"")</f>
        <v/>
      </c>
      <c r="U11" s="46" t="str" cm="1">
        <f t="array" ref="U11">+IFERROR(_xlfn.CONCAT(_xlfn.UNIQUE(_xlfn._xlws.FILTER(U$19:U$1010,(($A$19:$A$1010=$A11)*(U$19:U$1010&lt;&gt;0)*(U$19:U$1010&lt;&gt;"F"))))),"")</f>
        <v/>
      </c>
      <c r="V11" s="46" t="str" cm="1">
        <f t="array" ref="V11">+IFERROR(_xlfn.CONCAT(_xlfn.UNIQUE(_xlfn._xlws.FILTER(V$19:V$1010,(($A$19:$A$1010=$A11)*(V$19:V$1010&lt;&gt;0)*(V$19:V$1010&lt;&gt;"F"))))),"")</f>
        <v/>
      </c>
      <c r="W11" s="46" t="str" cm="1">
        <f t="array" ref="W11">+IFERROR(_xlfn.CONCAT(_xlfn.UNIQUE(_xlfn._xlws.FILTER(W$19:W$1010,(($A$19:$A$1010=$A11)*(W$19:W$1010&lt;&gt;0)*(W$19:W$1010&lt;&gt;"F"))))),"")</f>
        <v/>
      </c>
      <c r="X11" s="47" t="str" cm="1">
        <f t="array" ref="X11">+IFERROR(_xlfn.CONCAT(_xlfn.UNIQUE(_xlfn._xlws.FILTER(X$19:X$1010,(($A$19:$A$1010=$A11)*(X$19:X$1010&lt;&gt;0)*(X$19:X$1010&lt;&gt;"F"))))),"")</f>
        <v/>
      </c>
      <c r="Y11" s="45" t="str" cm="1">
        <f t="array" ref="Y11">+IFERROR(_xlfn.CONCAT(_xlfn.UNIQUE(_xlfn._xlws.FILTER(Y$19:Y$1010,(($A$19:$A$1010=$A11)*(Y$19:Y$1010&lt;&gt;0)*(Y$19:Y$1010&lt;&gt;"F"))))),"")</f>
        <v/>
      </c>
      <c r="Z11" s="46" t="str" cm="1">
        <f t="array" ref="Z11">+IFERROR(_xlfn.CONCAT(_xlfn.UNIQUE(_xlfn._xlws.FILTER(Z$19:Z$1010,(($A$19:$A$1010=$A11)*(Z$19:Z$1010&lt;&gt;0)*(Z$19:Z$1010&lt;&gt;"F"))))),"")</f>
        <v/>
      </c>
      <c r="AA11" s="46" t="str" cm="1">
        <f t="array" ref="AA11">+IFERROR(_xlfn.CONCAT(_xlfn.UNIQUE(_xlfn._xlws.FILTER(AA$19:AA$1010,(($A$19:$A$1010=$A11)*(AA$19:AA$1010&lt;&gt;0)*(AA$19:AA$1010&lt;&gt;"F"))))),"")</f>
        <v/>
      </c>
      <c r="AB11" s="47" t="str" cm="1">
        <f t="array" ref="AB11">+IFERROR(_xlfn.CONCAT(_xlfn.UNIQUE(_xlfn._xlws.FILTER(AB$19:AB$1010,(($A$19:$A$1010=$A11)*(AB$19:AB$1010&lt;&gt;0)*(AB$19:AB$1010&lt;&gt;"F"))))),"")</f>
        <v/>
      </c>
      <c r="AC11" s="45" t="str" cm="1">
        <f t="array" ref="AC11">+IFERROR(_xlfn.CONCAT(_xlfn.UNIQUE(_xlfn._xlws.FILTER(AC$19:AC$1010,(($A$19:$A$1010=$A11)*(AC$19:AC$1010&lt;&gt;0)*(AC$19:AC$1010&lt;&gt;"F"))))),"")</f>
        <v/>
      </c>
      <c r="AD11" s="46" t="str" cm="1">
        <f t="array" ref="AD11">+IFERROR(_xlfn.CONCAT(_xlfn.UNIQUE(_xlfn._xlws.FILTER(AD$19:AD$1010,(($A$19:$A$1010=$A11)*(AD$19:AD$1010&lt;&gt;0)*(AD$19:AD$1010&lt;&gt;"F"))))),"")</f>
        <v/>
      </c>
      <c r="AE11" s="46" t="str" cm="1">
        <f t="array" ref="AE11">+IFERROR(_xlfn.CONCAT(_xlfn.UNIQUE(_xlfn._xlws.FILTER(AE$19:AE$1010,(($A$19:$A$1010=$A11)*(AE$19:AE$1010&lt;&gt;0)*(AE$19:AE$1010&lt;&gt;"F"))))),"")</f>
        <v/>
      </c>
      <c r="AF11" s="47" t="str" cm="1">
        <f t="array" ref="AF11">+IFERROR(_xlfn.CONCAT(_xlfn.UNIQUE(_xlfn._xlws.FILTER(AF$19:AF$1010,(($A$19:$A$1010=$A11)*(AF$19:AF$1010&lt;&gt;0)*(AF$19:AF$1010&lt;&gt;"F"))))),"")</f>
        <v/>
      </c>
      <c r="AG11" s="45" t="str" cm="1">
        <f t="array" ref="AG11">+IFERROR(_xlfn.CONCAT(_xlfn.UNIQUE(_xlfn._xlws.FILTER(AG$19:AG$1010,(($A$19:$A$1010=$A11)*(AG$19:AG$1010&lt;&gt;0)*(AG$19:AG$1010&lt;&gt;"F"))))),"")</f>
        <v/>
      </c>
      <c r="AH11" s="46" t="str" cm="1">
        <f t="array" ref="AH11">+IFERROR(_xlfn.CONCAT(_xlfn.UNIQUE(_xlfn._xlws.FILTER(AH$19:AH$1010,(($A$19:$A$1010=$A11)*(AH$19:AH$1010&lt;&gt;0)*(AH$19:AH$1010&lt;&gt;"F"))))),"")</f>
        <v/>
      </c>
      <c r="AI11" s="46" t="str" cm="1">
        <f t="array" ref="AI11">+IFERROR(_xlfn.CONCAT(_xlfn.UNIQUE(_xlfn._xlws.FILTER(AI$19:AI$1010,(($A$19:$A$1010=$A11)*(AI$19:AI$1010&lt;&gt;0)*(AI$19:AI$1010&lt;&gt;"F"))))),"")</f>
        <v/>
      </c>
      <c r="AJ11" s="46" t="str" cm="1">
        <f t="array" ref="AJ11">+IFERROR(_xlfn.CONCAT(_xlfn.UNIQUE(_xlfn._xlws.FILTER(AJ$19:AJ$1010,(($A$19:$A$1010=$A11)*(AJ$19:AJ$1010&lt;&gt;0)*(AJ$19:AJ$1010&lt;&gt;"F"))))),"")</f>
        <v/>
      </c>
      <c r="AK11" s="47" t="str" cm="1">
        <f t="array" ref="AK11">+IFERROR(_xlfn.CONCAT(_xlfn.UNIQUE(_xlfn._xlws.FILTER(AK$19:AK$1010,(($A$19:$A$1010=$A11)*(AK$19:AK$1010&lt;&gt;0)*(AK$19:AK$1010&lt;&gt;"F"))))),"")</f>
        <v/>
      </c>
      <c r="AL11" s="45" t="str" cm="1">
        <f t="array" ref="AL11">+IFERROR(_xlfn.CONCAT(_xlfn.UNIQUE(_xlfn._xlws.FILTER(AL$19:AL$1010,(($A$19:$A$1010=$A11)*(AL$19:AL$1010&lt;&gt;0)*(AL$19:AL$1010&lt;&gt;"F"))))),"")</f>
        <v/>
      </c>
      <c r="AM11" s="46" t="str" cm="1">
        <f t="array" ref="AM11">+IFERROR(_xlfn.CONCAT(_xlfn.UNIQUE(_xlfn._xlws.FILTER(AM$19:AM$1010,(($A$19:$A$1010=$A11)*(AM$19:AM$1010&lt;&gt;0)*(AM$19:AM$1010&lt;&gt;"F"))))),"")</f>
        <v/>
      </c>
      <c r="AN11" s="46" t="str" cm="1">
        <f t="array" ref="AN11">+IFERROR(_xlfn.CONCAT(_xlfn.UNIQUE(_xlfn._xlws.FILTER(AN$19:AN$1010,(($A$19:$A$1010=$A11)*(AN$19:AN$1010&lt;&gt;0)*(AN$19:AN$1010&lt;&gt;"F"))))),"")</f>
        <v/>
      </c>
      <c r="AO11" s="47" t="str" cm="1">
        <f t="array" ref="AO11">+IFERROR(_xlfn.CONCAT(_xlfn.UNIQUE(_xlfn._xlws.FILTER(AO$19:AO$1010,(($A$19:$A$1010=$A11)*(AO$19:AO$1010&lt;&gt;0)*(AO$19:AO$1010&lt;&gt;"F"))))),"")</f>
        <v/>
      </c>
      <c r="AP11" s="45" t="str" cm="1">
        <f t="array" ref="AP11">+IFERROR(_xlfn.CONCAT(_xlfn.UNIQUE(_xlfn._xlws.FILTER(AP$19:AP$1010,(($A$19:$A$1010=$A11)*(AP$19:AP$1010&lt;&gt;0)*(AP$19:AP$1010&lt;&gt;"F"))))),"")</f>
        <v/>
      </c>
      <c r="AQ11" s="46" t="str" cm="1">
        <f t="array" ref="AQ11">+IFERROR(_xlfn.CONCAT(_xlfn.UNIQUE(_xlfn._xlws.FILTER(AQ$19:AQ$1010,(($A$19:$A$1010=$A11)*(AQ$19:AQ$1010&lt;&gt;0)*(AQ$19:AQ$1010&lt;&gt;"F"))))),"")</f>
        <v/>
      </c>
      <c r="AR11" s="46" t="str" cm="1">
        <f t="array" ref="AR11">+IFERROR(_xlfn.CONCAT(_xlfn.UNIQUE(_xlfn._xlws.FILTER(AR$19:AR$1010,(($A$19:$A$1010=$A11)*(AR$19:AR$1010&lt;&gt;0)*(AR$19:AR$1010&lt;&gt;"F"))))),"")</f>
        <v/>
      </c>
      <c r="AS11" s="47" t="str" cm="1">
        <f t="array" ref="AS11">+IFERROR(_xlfn.CONCAT(_xlfn.UNIQUE(_xlfn._xlws.FILTER(AS$19:AS$1010,(($A$19:$A$1010=$A11)*(AS$19:AS$1010&lt;&gt;0)*(AS$19:AS$1010&lt;&gt;"F"))))),"")</f>
        <v/>
      </c>
      <c r="AT11" s="45" t="str" cm="1">
        <f t="array" ref="AT11">+IFERROR(_xlfn.CONCAT(_xlfn.UNIQUE(_xlfn._xlws.FILTER(AT$19:AT$1010,(($A$19:$A$1010=$A11)*(AT$19:AT$1010&lt;&gt;0)*(AT$19:AT$1010&lt;&gt;"F"))))),"")</f>
        <v/>
      </c>
      <c r="AU11" s="46" t="str" cm="1">
        <f t="array" ref="AU11">+IFERROR(_xlfn.CONCAT(_xlfn.UNIQUE(_xlfn._xlws.FILTER(AU$19:AU$1010,(($A$19:$A$1010=$A11)*(AU$19:AU$1010&lt;&gt;0)*(AU$19:AU$1010&lt;&gt;"F"))))),"")</f>
        <v/>
      </c>
      <c r="AV11" s="46" t="str" cm="1">
        <f t="array" ref="AV11">+IFERROR(_xlfn.CONCAT(_xlfn.UNIQUE(_xlfn._xlws.FILTER(AV$19:AV$1010,(($A$19:$A$1010=$A11)*(AV$19:AV$1010&lt;&gt;0)*(AV$19:AV$1010&lt;&gt;"F"))))),"")</f>
        <v/>
      </c>
      <c r="AW11" s="46" t="str" cm="1">
        <f t="array" ref="AW11">+IFERROR(_xlfn.CONCAT(_xlfn.UNIQUE(_xlfn._xlws.FILTER(AW$19:AW$1010,(($A$19:$A$1010=$A11)*(AW$19:AW$1010&lt;&gt;0)*(AW$19:AW$1010&lt;&gt;"F"))))),"")</f>
        <v/>
      </c>
      <c r="AX11" s="47" t="str" cm="1">
        <f t="array" ref="AX11">+IFERROR(_xlfn.CONCAT(_xlfn.UNIQUE(_xlfn._xlws.FILTER(AX$19:AX$1010,(($A$19:$A$1010=$A11)*(AX$19:AX$1010&lt;&gt;0)*(AX$19:AX$1010&lt;&gt;"F"))))),"")</f>
        <v/>
      </c>
      <c r="AY11" s="45" t="str" cm="1">
        <f t="array" ref="AY11">+IFERROR(_xlfn.CONCAT(_xlfn.UNIQUE(_xlfn._xlws.FILTER(AY$19:AY$1010,(($A$19:$A$1010=$A11)*(AY$19:AY$1010&lt;&gt;0)*(AY$19:AY$1010&lt;&gt;"F"))))),"")</f>
        <v/>
      </c>
      <c r="AZ11" s="46" t="str" cm="1">
        <f t="array" ref="AZ11">+IFERROR(_xlfn.CONCAT(_xlfn.UNIQUE(_xlfn._xlws.FILTER(AZ$19:AZ$1010,(($A$19:$A$1010=$A11)*(AZ$19:AZ$1010&lt;&gt;0)*(AZ$19:AZ$1010&lt;&gt;"F"))))),"")</f>
        <v/>
      </c>
      <c r="BA11" s="46" t="str" cm="1">
        <f t="array" ref="BA11">+IFERROR(_xlfn.CONCAT(_xlfn.UNIQUE(_xlfn._xlws.FILTER(BA$19:BA$1010,(($A$19:$A$1010=$A11)*(BA$19:BA$1010&lt;&gt;0)*(BA$19:BA$1010&lt;&gt;"F"))))),"")</f>
        <v/>
      </c>
      <c r="BB11" s="47" t="str" cm="1">
        <f t="array" ref="BB11">+IFERROR(_xlfn.CONCAT(_xlfn.UNIQUE(_xlfn._xlws.FILTER(BB$19:BB$1010,(($A$19:$A$1010=$A11)*(BB$19:BB$1010&lt;&gt;0)*(BB$19:BB$1010&lt;&gt;"F"))))),"")</f>
        <v/>
      </c>
      <c r="BC11" s="45" t="str" cm="1">
        <f t="array" ref="BC11">+IFERROR(_xlfn.CONCAT(_xlfn.UNIQUE(_xlfn._xlws.FILTER(BC$19:BC$1010,(($A$19:$A$1010=$A11)*(BC$19:BC$1010&lt;&gt;0)*(BC$19:BC$1010&lt;&gt;"F"))))),"")</f>
        <v/>
      </c>
      <c r="BD11" s="46" t="str" cm="1">
        <f t="array" ref="BD11">+IFERROR(_xlfn.CONCAT(_xlfn.UNIQUE(_xlfn._xlws.FILTER(BD$19:BD$1010,(($A$19:$A$1010=$A11)*(BD$19:BD$1010&lt;&gt;0)*(BD$19:BD$1010&lt;&gt;"F"))))),"")</f>
        <v/>
      </c>
      <c r="BE11" s="46" t="str" cm="1">
        <f t="array" ref="BE11">+IFERROR(_xlfn.CONCAT(_xlfn.UNIQUE(_xlfn._xlws.FILTER(BE$19:BE$1010,(($A$19:$A$1010=$A11)*(BE$19:BE$1010&lt;&gt;0)*(BE$19:BE$1010&lt;&gt;"F"))))),"")</f>
        <v/>
      </c>
      <c r="BF11" s="47" t="str" cm="1">
        <f t="array" ref="BF11">+IFERROR(_xlfn.CONCAT(_xlfn.UNIQUE(_xlfn._xlws.FILTER(BF$19:BF$1010,(($A$19:$A$1010=$A11)*(BF$19:BF$1010&lt;&gt;0)*(BF$19:BF$1010&lt;&gt;"F"))))),"")</f>
        <v/>
      </c>
      <c r="BG11" s="45" t="str" cm="1">
        <f t="array" ref="BG11">+IFERROR(_xlfn.CONCAT(_xlfn.UNIQUE(_xlfn._xlws.FILTER(BG$19:BG$1010,(($A$19:$A$1010=$A11)*(BG$19:BG$1010&lt;&gt;0)*(BG$19:BG$1010&lt;&gt;"F"))))),"")</f>
        <v/>
      </c>
      <c r="BH11" s="46" t="str" cm="1">
        <f t="array" ref="BH11">+IFERROR(_xlfn.CONCAT(_xlfn.UNIQUE(_xlfn._xlws.FILTER(BH$19:BH$1010,(($A$19:$A$1010=$A11)*(BH$19:BH$1010&lt;&gt;0)*(BH$19:BH$1010&lt;&gt;"F"))))),"")</f>
        <v/>
      </c>
      <c r="BI11" s="46" t="str" cm="1">
        <f t="array" ref="BI11">+IFERROR(_xlfn.CONCAT(_xlfn.UNIQUE(_xlfn._xlws.FILTER(BI$19:BI$1010,(($A$19:$A$1010=$A11)*(BI$19:BI$1010&lt;&gt;0)*(BI$19:BI$1010&lt;&gt;"F"))))),"")</f>
        <v/>
      </c>
      <c r="BJ11" s="46" t="str" cm="1">
        <f t="array" ref="BJ11">+IFERROR(_xlfn.CONCAT(_xlfn.UNIQUE(_xlfn._xlws.FILTER(BJ$19:BJ$1010,(($A$19:$A$1010=$A11)*(BJ$19:BJ$1010&lt;&gt;0)*(BJ$19:BJ$1010&lt;&gt;"F"))))),"")</f>
        <v/>
      </c>
      <c r="BK11" s="47" t="str" cm="1">
        <f t="array" ref="BK11">+IFERROR(_xlfn.CONCAT(_xlfn.UNIQUE(_xlfn._xlws.FILTER(BK$19:BK$1010,(($A$19:$A$1010=$A11)*(BK$19:BK$1010&lt;&gt;0)*(BK$19:BK$1010&lt;&gt;"F"))))),"")</f>
        <v/>
      </c>
      <c r="BL11" s="45" t="str" cm="1">
        <f t="array" ref="BL11">+IFERROR(_xlfn.CONCAT(_xlfn.UNIQUE(_xlfn._xlws.FILTER(BL$19:BL$1010,(($A$19:$A$1010=$A11)*(BL$19:BL$1010&lt;&gt;0)*(BL$19:BL$1010&lt;&gt;"F"))))),"")</f>
        <v/>
      </c>
      <c r="BM11" s="46" t="str" cm="1">
        <f t="array" ref="BM11">+IFERROR(_xlfn.CONCAT(_xlfn.UNIQUE(_xlfn._xlws.FILTER(BM$19:BM$1010,(($A$19:$A$1010=$A11)*(BM$19:BM$1010&lt;&gt;0)*(BM$19:BM$1010&lt;&gt;"F"))))),"")</f>
        <v/>
      </c>
      <c r="BN11" s="46" t="str" cm="1">
        <f t="array" ref="BN11">+IFERROR(_xlfn.CONCAT(_xlfn.UNIQUE(_xlfn._xlws.FILTER(BN$19:BN$1010,(($A$19:$A$1010=$A11)*(BN$19:BN$1010&lt;&gt;0)*(BN$19:BN$1010&lt;&gt;"F"))))),"")</f>
        <v/>
      </c>
      <c r="BO11" s="47" t="str" cm="1">
        <f t="array" ref="BO11">+IFERROR(_xlfn.CONCAT(_xlfn.UNIQUE(_xlfn._xlws.FILTER(BO$19:BO$1010,(($A$19:$A$1010=$A11)*(BO$19:BO$1010&lt;&gt;0)*(BO$19:BO$1010&lt;&gt;"F"))))),"")</f>
        <v/>
      </c>
      <c r="BP11" s="45" t="str" cm="1">
        <f t="array" ref="BP11">+IFERROR(_xlfn.CONCAT(_xlfn.UNIQUE(_xlfn._xlws.FILTER(BP$19:BP$1010,(($A$19:$A$1010=$A11)*(BP$19:BP$1010&lt;&gt;0)*(BP$19:BP$1010&lt;&gt;"F"))))),"")</f>
        <v/>
      </c>
      <c r="BQ11" s="46" t="str" cm="1">
        <f t="array" ref="BQ11">+IFERROR(_xlfn.CONCAT(_xlfn.UNIQUE(_xlfn._xlws.FILTER(BQ$19:BQ$1010,(($A$19:$A$1010=$A11)*(BQ$19:BQ$1010&lt;&gt;0)*(BQ$19:BQ$1010&lt;&gt;"F"))))),"")</f>
        <v/>
      </c>
      <c r="BR11" s="46" t="str" cm="1">
        <f t="array" ref="BR11">+IFERROR(_xlfn.CONCAT(_xlfn.UNIQUE(_xlfn._xlws.FILTER(BR$19:BR$1010,(($A$19:$A$1010=$A11)*(BR$19:BR$1010&lt;&gt;0)*(BR$19:BR$1010&lt;&gt;"F"))))),"")</f>
        <v/>
      </c>
      <c r="BS11" s="47" t="str" cm="1">
        <f t="array" ref="BS11">+IFERROR(_xlfn.CONCAT(_xlfn.UNIQUE(_xlfn._xlws.FILTER(BS$19:BS$1010,(($A$19:$A$1010=$A11)*(BS$19:BS$1010&lt;&gt;0)*(BS$19:BS$1010&lt;&gt;"F"))))),"")</f>
        <v/>
      </c>
    </row>
    <row r="12" spans="1:71" s="13" customFormat="1" ht="39.9" customHeight="1" x14ac:dyDescent="0.3">
      <c r="A12" s="58" t="str">
        <v>RAVEX - CANHOTO DIGITAL</v>
      </c>
      <c r="B12" s="30"/>
      <c r="C12" s="31">
        <v>0</v>
      </c>
      <c r="D12" s="32" t="str">
        <v>Melhoria de Processo</v>
      </c>
      <c r="E12" s="32" t="str">
        <v>Evolução, Melhoria ou Adequação</v>
      </c>
      <c r="F12" s="32" t="str">
        <v>Alta</v>
      </c>
      <c r="G12" s="48" t="str" cm="1">
        <f t="array" ref="G12">+IFERROR(_xlfn.CONCAT(_xlfn.UNIQUE(_xlfn._xlws.FILTER(G$19:G$1010,(($A$19:$A$1010=$A12)*(G$19:G$1010&lt;&gt;0)*(G$19:G$1010&lt;&gt;"F"))))),"")</f>
        <v/>
      </c>
      <c r="H12" s="49" t="str" cm="1">
        <f t="array" ref="H12">+IFERROR(_xlfn.CONCAT(_xlfn.UNIQUE(_xlfn._xlws.FILTER(H$19:H$1010,(($A$19:$A$1010=$A12)*(H$19:H$1010&lt;&gt;0)*(H$19:H$1010&lt;&gt;"F"))))),"")</f>
        <v/>
      </c>
      <c r="I12" s="49" t="str" cm="1">
        <f t="array" ref="I12">+IFERROR(_xlfn.CONCAT(_xlfn.UNIQUE(_xlfn._xlws.FILTER(I$19:I$1010,(($A$19:$A$1010=$A12)*(I$19:I$1010&lt;&gt;0)*(I$19:I$1010&lt;&gt;"F"))))),"")</f>
        <v/>
      </c>
      <c r="J12" s="49" t="str" cm="1">
        <f t="array" ref="J12">+IFERROR(_xlfn.CONCAT(_xlfn.UNIQUE(_xlfn._xlws.FILTER(J$19:J$1010,(($A$19:$A$1010=$A12)*(J$19:J$1010&lt;&gt;0)*(J$19:J$1010&lt;&gt;"F"))))),"")</f>
        <v/>
      </c>
      <c r="K12" s="50" t="str" cm="1">
        <f t="array" ref="K12">+IFERROR(_xlfn.CONCAT(_xlfn.UNIQUE(_xlfn._xlws.FILTER(K$19:K$1010,(($A$19:$A$1010=$A12)*(K$19:K$1010&lt;&gt;0)*(K$19:K$1010&lt;&gt;"F"))))),"")</f>
        <v/>
      </c>
      <c r="L12" s="48" t="str" cm="1">
        <f t="array" ref="L12">+IFERROR(_xlfn.CONCAT(_xlfn.UNIQUE(_xlfn._xlws.FILTER(L$19:L$1010,(($A$19:$A$1010=$A12)*(L$19:L$1010&lt;&gt;0)*(L$19:L$1010&lt;&gt;"F"))))),"")</f>
        <v/>
      </c>
      <c r="M12" s="49" t="str" cm="1">
        <f t="array" ref="M12">+IFERROR(_xlfn.CONCAT(_xlfn.UNIQUE(_xlfn._xlws.FILTER(M$19:M$1010,(($A$19:$A$1010=$A12)*(M$19:M$1010&lt;&gt;0)*(M$19:M$1010&lt;&gt;"F"))))),"")</f>
        <v/>
      </c>
      <c r="N12" s="49" t="str" cm="1">
        <f t="array" ref="N12">+IFERROR(_xlfn.CONCAT(_xlfn.UNIQUE(_xlfn._xlws.FILTER(N$19:N$1010,(($A$19:$A$1010=$A12)*(N$19:N$1010&lt;&gt;0)*(N$19:N$1010&lt;&gt;"F"))))),"")</f>
        <v/>
      </c>
      <c r="O12" s="50" t="str" cm="1">
        <f t="array" ref="O12">+IFERROR(_xlfn.CONCAT(_xlfn.UNIQUE(_xlfn._xlws.FILTER(O$19:O$1010,(($A$19:$A$1010=$A12)*(O$19:O$1010&lt;&gt;0)*(O$19:O$1010&lt;&gt;"F"))))),"")</f>
        <v/>
      </c>
      <c r="P12" s="48" t="str" cm="1">
        <f t="array" ref="P12">+IFERROR(_xlfn.CONCAT(_xlfn.UNIQUE(_xlfn._xlws.FILTER(P$19:P$1010,(($A$19:$A$1010=$A12)*(P$19:P$1010&lt;&gt;0)*(P$19:P$1010&lt;&gt;"F"))))),"")</f>
        <v/>
      </c>
      <c r="Q12" s="49" t="str" cm="1">
        <f t="array" ref="Q12">+IFERROR(_xlfn.CONCAT(_xlfn.UNIQUE(_xlfn._xlws.FILTER(Q$19:Q$1010,(($A$19:$A$1010=$A12)*(Q$19:Q$1010&lt;&gt;0)*(Q$19:Q$1010&lt;&gt;"F"))))),"")</f>
        <v/>
      </c>
      <c r="R12" s="49" t="str" cm="1">
        <f t="array" ref="R12">+IFERROR(_xlfn.CONCAT(_xlfn.UNIQUE(_xlfn._xlws.FILTER(R$19:R$1010,(($A$19:$A$1010=$A12)*(R$19:R$1010&lt;&gt;0)*(R$19:R$1010&lt;&gt;"F"))))),"")</f>
        <v/>
      </c>
      <c r="S12" s="50" t="str" cm="1">
        <f t="array" ref="S12">+IFERROR(_xlfn.CONCAT(_xlfn.UNIQUE(_xlfn._xlws.FILTER(S$19:S$1010,(($A$19:$A$1010=$A12)*(S$19:S$1010&lt;&gt;0)*(S$19:S$1010&lt;&gt;"F"))))),"")</f>
        <v/>
      </c>
      <c r="T12" s="48" t="str" cm="1">
        <f t="array" ref="T12">+IFERROR(_xlfn.CONCAT(_xlfn.UNIQUE(_xlfn._xlws.FILTER(T$19:T$1010,(($A$19:$A$1010=$A12)*(T$19:T$1010&lt;&gt;0)*(T$19:T$1010&lt;&gt;"F"))))),"")</f>
        <v/>
      </c>
      <c r="U12" s="49" t="str" cm="1">
        <f t="array" ref="U12">+IFERROR(_xlfn.CONCAT(_xlfn.UNIQUE(_xlfn._xlws.FILTER(U$19:U$1010,(($A$19:$A$1010=$A12)*(U$19:U$1010&lt;&gt;0)*(U$19:U$1010&lt;&gt;"F"))))),"")</f>
        <v/>
      </c>
      <c r="V12" s="49" t="str" cm="1">
        <f t="array" ref="V12">+IFERROR(_xlfn.CONCAT(_xlfn.UNIQUE(_xlfn._xlws.FILTER(V$19:V$1010,(($A$19:$A$1010=$A12)*(V$19:V$1010&lt;&gt;0)*(V$19:V$1010&lt;&gt;"F"))))),"")</f>
        <v/>
      </c>
      <c r="W12" s="49" t="str" cm="1">
        <f t="array" ref="W12">+IFERROR(_xlfn.CONCAT(_xlfn.UNIQUE(_xlfn._xlws.FILTER(W$19:W$1010,(($A$19:$A$1010=$A12)*(W$19:W$1010&lt;&gt;0)*(W$19:W$1010&lt;&gt;"F"))))),"")</f>
        <v/>
      </c>
      <c r="X12" s="50" t="str" cm="1">
        <f t="array" ref="X12">+IFERROR(_xlfn.CONCAT(_xlfn.UNIQUE(_xlfn._xlws.FILTER(X$19:X$1010,(($A$19:$A$1010=$A12)*(X$19:X$1010&lt;&gt;0)*(X$19:X$1010&lt;&gt;"F"))))),"")</f>
        <v/>
      </c>
      <c r="Y12" s="48" t="str" cm="1">
        <f t="array" ref="Y12">+IFERROR(_xlfn.CONCAT(_xlfn.UNIQUE(_xlfn._xlws.FILTER(Y$19:Y$1010,(($A$19:$A$1010=$A12)*(Y$19:Y$1010&lt;&gt;0)*(Y$19:Y$1010&lt;&gt;"F"))))),"")</f>
        <v/>
      </c>
      <c r="Z12" s="49" t="str" cm="1">
        <f t="array" ref="Z12">+IFERROR(_xlfn.CONCAT(_xlfn.UNIQUE(_xlfn._xlws.FILTER(Z$19:Z$1010,(($A$19:$A$1010=$A12)*(Z$19:Z$1010&lt;&gt;0)*(Z$19:Z$1010&lt;&gt;"F"))))),"")</f>
        <v/>
      </c>
      <c r="AA12" s="49" t="str" cm="1">
        <f t="array" ref="AA12">+IFERROR(_xlfn.CONCAT(_xlfn.UNIQUE(_xlfn._xlws.FILTER(AA$19:AA$1010,(($A$19:$A$1010=$A12)*(AA$19:AA$1010&lt;&gt;0)*(AA$19:AA$1010&lt;&gt;"F"))))),"")</f>
        <v/>
      </c>
      <c r="AB12" s="50" t="str" cm="1">
        <f t="array" ref="AB12">+IFERROR(_xlfn.CONCAT(_xlfn.UNIQUE(_xlfn._xlws.FILTER(AB$19:AB$1010,(($A$19:$A$1010=$A12)*(AB$19:AB$1010&lt;&gt;0)*(AB$19:AB$1010&lt;&gt;"F"))))),"")</f>
        <v/>
      </c>
      <c r="AC12" s="48" t="str" cm="1">
        <f t="array" ref="AC12">+IFERROR(_xlfn.CONCAT(_xlfn.UNIQUE(_xlfn._xlws.FILTER(AC$19:AC$1010,(($A$19:$A$1010=$A12)*(AC$19:AC$1010&lt;&gt;0)*(AC$19:AC$1010&lt;&gt;"F"))))),"")</f>
        <v/>
      </c>
      <c r="AD12" s="49" t="str" cm="1">
        <f t="array" ref="AD12">+IFERROR(_xlfn.CONCAT(_xlfn.UNIQUE(_xlfn._xlws.FILTER(AD$19:AD$1010,(($A$19:$A$1010=$A12)*(AD$19:AD$1010&lt;&gt;0)*(AD$19:AD$1010&lt;&gt;"F"))))),"")</f>
        <v/>
      </c>
      <c r="AE12" s="49" t="str" cm="1">
        <f t="array" ref="AE12">+IFERROR(_xlfn.CONCAT(_xlfn.UNIQUE(_xlfn._xlws.FILTER(AE$19:AE$1010,(($A$19:$A$1010=$A12)*(AE$19:AE$1010&lt;&gt;0)*(AE$19:AE$1010&lt;&gt;"F"))))),"")</f>
        <v/>
      </c>
      <c r="AF12" s="50" t="str" cm="1">
        <f t="array" ref="AF12">+IFERROR(_xlfn.CONCAT(_xlfn.UNIQUE(_xlfn._xlws.FILTER(AF$19:AF$1010,(($A$19:$A$1010=$A12)*(AF$19:AF$1010&lt;&gt;0)*(AF$19:AF$1010&lt;&gt;"F"))))),"")</f>
        <v/>
      </c>
      <c r="AG12" s="48" t="str" cm="1">
        <f t="array" ref="AG12">+IFERROR(_xlfn.CONCAT(_xlfn.UNIQUE(_xlfn._xlws.FILTER(AG$19:AG$1010,(($A$19:$A$1010=$A12)*(AG$19:AG$1010&lt;&gt;0)*(AG$19:AG$1010&lt;&gt;"F"))))),"")</f>
        <v/>
      </c>
      <c r="AH12" s="49" t="str" cm="1">
        <f t="array" ref="AH12">+IFERROR(_xlfn.CONCAT(_xlfn.UNIQUE(_xlfn._xlws.FILTER(AH$19:AH$1010,(($A$19:$A$1010=$A12)*(AH$19:AH$1010&lt;&gt;0)*(AH$19:AH$1010&lt;&gt;"F"))))),"")</f>
        <v/>
      </c>
      <c r="AI12" s="49" t="str" cm="1">
        <f t="array" ref="AI12">+IFERROR(_xlfn.CONCAT(_xlfn.UNIQUE(_xlfn._xlws.FILTER(AI$19:AI$1010,(($A$19:$A$1010=$A12)*(AI$19:AI$1010&lt;&gt;0)*(AI$19:AI$1010&lt;&gt;"F"))))),"")</f>
        <v/>
      </c>
      <c r="AJ12" s="49" t="str" cm="1">
        <f t="array" ref="AJ12">+IFERROR(_xlfn.CONCAT(_xlfn.UNIQUE(_xlfn._xlws.FILTER(AJ$19:AJ$1010,(($A$19:$A$1010=$A12)*(AJ$19:AJ$1010&lt;&gt;0)*(AJ$19:AJ$1010&lt;&gt;"F"))))),"")</f>
        <v/>
      </c>
      <c r="AK12" s="50" t="str" cm="1">
        <f t="array" ref="AK12">+IFERROR(_xlfn.CONCAT(_xlfn.UNIQUE(_xlfn._xlws.FILTER(AK$19:AK$1010,(($A$19:$A$1010=$A12)*(AK$19:AK$1010&lt;&gt;0)*(AK$19:AK$1010&lt;&gt;"F"))))),"")</f>
        <v/>
      </c>
      <c r="AL12" s="48" t="str" cm="1">
        <f t="array" ref="AL12">+IFERROR(_xlfn.CONCAT(_xlfn.UNIQUE(_xlfn._xlws.FILTER(AL$19:AL$1010,(($A$19:$A$1010=$A12)*(AL$19:AL$1010&lt;&gt;0)*(AL$19:AL$1010&lt;&gt;"F"))))),"")</f>
        <v/>
      </c>
      <c r="AM12" s="49" t="str" cm="1">
        <f t="array" ref="AM12">+IFERROR(_xlfn.CONCAT(_xlfn.UNIQUE(_xlfn._xlws.FILTER(AM$19:AM$1010,(($A$19:$A$1010=$A12)*(AM$19:AM$1010&lt;&gt;0)*(AM$19:AM$1010&lt;&gt;"F"))))),"")</f>
        <v/>
      </c>
      <c r="AN12" s="49" t="str" cm="1">
        <f t="array" ref="AN12">+IFERROR(_xlfn.CONCAT(_xlfn.UNIQUE(_xlfn._xlws.FILTER(AN$19:AN$1010,(($A$19:$A$1010=$A12)*(AN$19:AN$1010&lt;&gt;0)*(AN$19:AN$1010&lt;&gt;"F"))))),"")</f>
        <v/>
      </c>
      <c r="AO12" s="50" t="str" cm="1">
        <f t="array" ref="AO12">+IFERROR(_xlfn.CONCAT(_xlfn.UNIQUE(_xlfn._xlws.FILTER(AO$19:AO$1010,(($A$19:$A$1010=$A12)*(AO$19:AO$1010&lt;&gt;0)*(AO$19:AO$1010&lt;&gt;"F"))))),"")</f>
        <v/>
      </c>
      <c r="AP12" s="48" t="str" cm="1">
        <f t="array" ref="AP12">+IFERROR(_xlfn.CONCAT(_xlfn.UNIQUE(_xlfn._xlws.FILTER(AP$19:AP$1010,(($A$19:$A$1010=$A12)*(AP$19:AP$1010&lt;&gt;0)*(AP$19:AP$1010&lt;&gt;"F"))))),"")</f>
        <v/>
      </c>
      <c r="AQ12" s="49" t="str" cm="1">
        <f t="array" ref="AQ12">+IFERROR(_xlfn.CONCAT(_xlfn.UNIQUE(_xlfn._xlws.FILTER(AQ$19:AQ$1010,(($A$19:$A$1010=$A12)*(AQ$19:AQ$1010&lt;&gt;0)*(AQ$19:AQ$1010&lt;&gt;"F"))))),"")</f>
        <v/>
      </c>
      <c r="AR12" s="49" t="str" cm="1">
        <f t="array" ref="AR12">+IFERROR(_xlfn.CONCAT(_xlfn.UNIQUE(_xlfn._xlws.FILTER(AR$19:AR$1010,(($A$19:$A$1010=$A12)*(AR$19:AR$1010&lt;&gt;0)*(AR$19:AR$1010&lt;&gt;"F"))))),"")</f>
        <v/>
      </c>
      <c r="AS12" s="50" t="str" cm="1">
        <f t="array" ref="AS12">+IFERROR(_xlfn.CONCAT(_xlfn.UNIQUE(_xlfn._xlws.FILTER(AS$19:AS$1010,(($A$19:$A$1010=$A12)*(AS$19:AS$1010&lt;&gt;0)*(AS$19:AS$1010&lt;&gt;"F"))))),"")</f>
        <v/>
      </c>
      <c r="AT12" s="48" t="str" cm="1">
        <f t="array" ref="AT12">+IFERROR(_xlfn.CONCAT(_xlfn.UNIQUE(_xlfn._xlws.FILTER(AT$19:AT$1010,(($A$19:$A$1010=$A12)*(AT$19:AT$1010&lt;&gt;0)*(AT$19:AT$1010&lt;&gt;"F"))))),"")</f>
        <v/>
      </c>
      <c r="AU12" s="49" t="str" cm="1">
        <f t="array" ref="AU12">+IFERROR(_xlfn.CONCAT(_xlfn.UNIQUE(_xlfn._xlws.FILTER(AU$19:AU$1010,(($A$19:$A$1010=$A12)*(AU$19:AU$1010&lt;&gt;0)*(AU$19:AU$1010&lt;&gt;"F"))))),"")</f>
        <v/>
      </c>
      <c r="AV12" s="49" t="str" cm="1">
        <f t="array" ref="AV12">+IFERROR(_xlfn.CONCAT(_xlfn.UNIQUE(_xlfn._xlws.FILTER(AV$19:AV$1010,(($A$19:$A$1010=$A12)*(AV$19:AV$1010&lt;&gt;0)*(AV$19:AV$1010&lt;&gt;"F"))))),"")</f>
        <v/>
      </c>
      <c r="AW12" s="49" t="str" cm="1">
        <f t="array" ref="AW12">+IFERROR(_xlfn.CONCAT(_xlfn.UNIQUE(_xlfn._xlws.FILTER(AW$19:AW$1010,(($A$19:$A$1010=$A12)*(AW$19:AW$1010&lt;&gt;0)*(AW$19:AW$1010&lt;&gt;"F"))))),"")</f>
        <v/>
      </c>
      <c r="AX12" s="50" t="str" cm="1">
        <f t="array" ref="AX12">+IFERROR(_xlfn.CONCAT(_xlfn.UNIQUE(_xlfn._xlws.FILTER(AX$19:AX$1010,(($A$19:$A$1010=$A12)*(AX$19:AX$1010&lt;&gt;0)*(AX$19:AX$1010&lt;&gt;"F"))))),"")</f>
        <v/>
      </c>
      <c r="AY12" s="48" t="str" cm="1">
        <f t="array" ref="AY12">+IFERROR(_xlfn.CONCAT(_xlfn.UNIQUE(_xlfn._xlws.FILTER(AY$19:AY$1010,(($A$19:$A$1010=$A12)*(AY$19:AY$1010&lt;&gt;0)*(AY$19:AY$1010&lt;&gt;"F"))))),"")</f>
        <v/>
      </c>
      <c r="AZ12" s="49" t="str" cm="1">
        <f t="array" ref="AZ12">+IFERROR(_xlfn.CONCAT(_xlfn.UNIQUE(_xlfn._xlws.FILTER(AZ$19:AZ$1010,(($A$19:$A$1010=$A12)*(AZ$19:AZ$1010&lt;&gt;0)*(AZ$19:AZ$1010&lt;&gt;"F"))))),"")</f>
        <v/>
      </c>
      <c r="BA12" s="49" t="str" cm="1">
        <f t="array" ref="BA12">+IFERROR(_xlfn.CONCAT(_xlfn.UNIQUE(_xlfn._xlws.FILTER(BA$19:BA$1010,(($A$19:$A$1010=$A12)*(BA$19:BA$1010&lt;&gt;0)*(BA$19:BA$1010&lt;&gt;"F"))))),"")</f>
        <v/>
      </c>
      <c r="BB12" s="50" t="str" cm="1">
        <f t="array" ref="BB12">+IFERROR(_xlfn.CONCAT(_xlfn.UNIQUE(_xlfn._xlws.FILTER(BB$19:BB$1010,(($A$19:$A$1010=$A12)*(BB$19:BB$1010&lt;&gt;0)*(BB$19:BB$1010&lt;&gt;"F"))))),"")</f>
        <v/>
      </c>
      <c r="BC12" s="48" t="str" cm="1">
        <f t="array" ref="BC12">+IFERROR(_xlfn.CONCAT(_xlfn.UNIQUE(_xlfn._xlws.FILTER(BC$19:BC$1010,(($A$19:$A$1010=$A12)*(BC$19:BC$1010&lt;&gt;0)*(BC$19:BC$1010&lt;&gt;"F"))))),"")</f>
        <v/>
      </c>
      <c r="BD12" s="49" t="str" cm="1">
        <f t="array" ref="BD12">+IFERROR(_xlfn.CONCAT(_xlfn.UNIQUE(_xlfn._xlws.FILTER(BD$19:BD$1010,(($A$19:$A$1010=$A12)*(BD$19:BD$1010&lt;&gt;0)*(BD$19:BD$1010&lt;&gt;"F"))))),"")</f>
        <v/>
      </c>
      <c r="BE12" s="49" t="str" cm="1">
        <f t="array" ref="BE12">+IFERROR(_xlfn.CONCAT(_xlfn.UNIQUE(_xlfn._xlws.FILTER(BE$19:BE$1010,(($A$19:$A$1010=$A12)*(BE$19:BE$1010&lt;&gt;0)*(BE$19:BE$1010&lt;&gt;"F"))))),"")</f>
        <v/>
      </c>
      <c r="BF12" s="50" t="str" cm="1">
        <f t="array" ref="BF12">+IFERROR(_xlfn.CONCAT(_xlfn.UNIQUE(_xlfn._xlws.FILTER(BF$19:BF$1010,(($A$19:$A$1010=$A12)*(BF$19:BF$1010&lt;&gt;0)*(BF$19:BF$1010&lt;&gt;"F"))))),"")</f>
        <v/>
      </c>
      <c r="BG12" s="48" t="str" cm="1">
        <f t="array" ref="BG12">+IFERROR(_xlfn.CONCAT(_xlfn.UNIQUE(_xlfn._xlws.FILTER(BG$19:BG$1010,(($A$19:$A$1010=$A12)*(BG$19:BG$1010&lt;&gt;0)*(BG$19:BG$1010&lt;&gt;"F"))))),"")</f>
        <v/>
      </c>
      <c r="BH12" s="49" t="str" cm="1">
        <f t="array" ref="BH12">+IFERROR(_xlfn.CONCAT(_xlfn.UNIQUE(_xlfn._xlws.FILTER(BH$19:BH$1010,(($A$19:$A$1010=$A12)*(BH$19:BH$1010&lt;&gt;0)*(BH$19:BH$1010&lt;&gt;"F"))))),"")</f>
        <v/>
      </c>
      <c r="BI12" s="49" t="str" cm="1">
        <f t="array" ref="BI12">+IFERROR(_xlfn.CONCAT(_xlfn.UNIQUE(_xlfn._xlws.FILTER(BI$19:BI$1010,(($A$19:$A$1010=$A12)*(BI$19:BI$1010&lt;&gt;0)*(BI$19:BI$1010&lt;&gt;"F"))))),"")</f>
        <v/>
      </c>
      <c r="BJ12" s="49" t="str" cm="1">
        <f t="array" ref="BJ12">+IFERROR(_xlfn.CONCAT(_xlfn.UNIQUE(_xlfn._xlws.FILTER(BJ$19:BJ$1010,(($A$19:$A$1010=$A12)*(BJ$19:BJ$1010&lt;&gt;0)*(BJ$19:BJ$1010&lt;&gt;"F"))))),"")</f>
        <v/>
      </c>
      <c r="BK12" s="50" t="str" cm="1">
        <f t="array" ref="BK12">+IFERROR(_xlfn.CONCAT(_xlfn.UNIQUE(_xlfn._xlws.FILTER(BK$19:BK$1010,(($A$19:$A$1010=$A12)*(BK$19:BK$1010&lt;&gt;0)*(BK$19:BK$1010&lt;&gt;"F"))))),"")</f>
        <v/>
      </c>
      <c r="BL12" s="48" t="str" cm="1">
        <f t="array" ref="BL12">+IFERROR(_xlfn.CONCAT(_xlfn.UNIQUE(_xlfn._xlws.FILTER(BL$19:BL$1010,(($A$19:$A$1010=$A12)*(BL$19:BL$1010&lt;&gt;0)*(BL$19:BL$1010&lt;&gt;"F"))))),"")</f>
        <v/>
      </c>
      <c r="BM12" s="49" t="str" cm="1">
        <f t="array" ref="BM12">+IFERROR(_xlfn.CONCAT(_xlfn.UNIQUE(_xlfn._xlws.FILTER(BM$19:BM$1010,(($A$19:$A$1010=$A12)*(BM$19:BM$1010&lt;&gt;0)*(BM$19:BM$1010&lt;&gt;"F"))))),"")</f>
        <v/>
      </c>
      <c r="BN12" s="49" t="str" cm="1">
        <f t="array" ref="BN12">+IFERROR(_xlfn.CONCAT(_xlfn.UNIQUE(_xlfn._xlws.FILTER(BN$19:BN$1010,(($A$19:$A$1010=$A12)*(BN$19:BN$1010&lt;&gt;0)*(BN$19:BN$1010&lt;&gt;"F"))))),"")</f>
        <v/>
      </c>
      <c r="BO12" s="50" t="str" cm="1">
        <f t="array" ref="BO12">+IFERROR(_xlfn.CONCAT(_xlfn.UNIQUE(_xlfn._xlws.FILTER(BO$19:BO$1010,(($A$19:$A$1010=$A12)*(BO$19:BO$1010&lt;&gt;0)*(BO$19:BO$1010&lt;&gt;"F"))))),"")</f>
        <v/>
      </c>
      <c r="BP12" s="48" t="str" cm="1">
        <f t="array" ref="BP12">+IFERROR(_xlfn.CONCAT(_xlfn.UNIQUE(_xlfn._xlws.FILTER(BP$19:BP$1010,(($A$19:$A$1010=$A12)*(BP$19:BP$1010&lt;&gt;0)*(BP$19:BP$1010&lt;&gt;"F"))))),"")</f>
        <v/>
      </c>
      <c r="BQ12" s="49" t="str" cm="1">
        <f t="array" ref="BQ12">+IFERROR(_xlfn.CONCAT(_xlfn.UNIQUE(_xlfn._xlws.FILTER(BQ$19:BQ$1010,(($A$19:$A$1010=$A12)*(BQ$19:BQ$1010&lt;&gt;0)*(BQ$19:BQ$1010&lt;&gt;"F"))))),"")</f>
        <v/>
      </c>
      <c r="BR12" s="49" t="str" cm="1">
        <f t="array" ref="BR12">+IFERROR(_xlfn.CONCAT(_xlfn.UNIQUE(_xlfn._xlws.FILTER(BR$19:BR$1010,(($A$19:$A$1010=$A12)*(BR$19:BR$1010&lt;&gt;0)*(BR$19:BR$1010&lt;&gt;"F"))))),"")</f>
        <v/>
      </c>
      <c r="BS12" s="50" t="str" cm="1">
        <f t="array" ref="BS12">+IFERROR(_xlfn.CONCAT(_xlfn.UNIQUE(_xlfn._xlws.FILTER(BS$19:BS$1010,(($A$19:$A$1010=$A12)*(BS$19:BS$1010&lt;&gt;0)*(BS$19:BS$1010&lt;&gt;"F"))))),"")</f>
        <v/>
      </c>
    </row>
    <row r="13" spans="1:71" x14ac:dyDescent="0.4">
      <c r="A13" s="10" t="str">
        <v>RAVEX - BALDEIO PARCIAL</v>
      </c>
      <c r="C13" s="11">
        <v>0</v>
      </c>
      <c r="D13" s="12" t="str">
        <v>Melhoria de Processo</v>
      </c>
      <c r="E13" s="12" t="str">
        <v>Evolução, Melhoria ou Adequação</v>
      </c>
      <c r="F13" s="12" t="str">
        <v>Alta</v>
      </c>
    </row>
    <row r="15" spans="1:71" ht="21.6" x14ac:dyDescent="0.4">
      <c r="G15" s="36" t="s">
        <v>163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</row>
    <row r="16" spans="1:71" x14ac:dyDescent="0.4">
      <c r="G16" s="39" t="s">
        <v>142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1"/>
      <c r="T16" s="39" t="s">
        <v>143</v>
      </c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1"/>
      <c r="AG16" s="39" t="s">
        <v>144</v>
      </c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1"/>
      <c r="AT16" s="39" t="s">
        <v>145</v>
      </c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1"/>
      <c r="BG16" s="39" t="s">
        <v>146</v>
      </c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1"/>
    </row>
    <row r="17" spans="1:71" x14ac:dyDescent="0.4">
      <c r="G17" s="39" t="s">
        <v>137</v>
      </c>
      <c r="H17" s="40"/>
      <c r="I17" s="40"/>
      <c r="J17" s="40"/>
      <c r="K17" s="41"/>
      <c r="L17" s="39" t="s">
        <v>138</v>
      </c>
      <c r="M17" s="40"/>
      <c r="N17" s="40"/>
      <c r="O17" s="41"/>
      <c r="P17" s="39" t="s">
        <v>139</v>
      </c>
      <c r="Q17" s="40"/>
      <c r="R17" s="40"/>
      <c r="S17" s="41"/>
      <c r="T17" s="39" t="s">
        <v>128</v>
      </c>
      <c r="U17" s="40"/>
      <c r="V17" s="40"/>
      <c r="W17" s="40"/>
      <c r="X17" s="41"/>
      <c r="Y17" s="39" t="s">
        <v>129</v>
      </c>
      <c r="Z17" s="40"/>
      <c r="AA17" s="40"/>
      <c r="AB17" s="41"/>
      <c r="AC17" s="39" t="s">
        <v>130</v>
      </c>
      <c r="AD17" s="40"/>
      <c r="AE17" s="40"/>
      <c r="AF17" s="41"/>
      <c r="AG17" s="39" t="s">
        <v>131</v>
      </c>
      <c r="AH17" s="40"/>
      <c r="AI17" s="40"/>
      <c r="AJ17" s="40"/>
      <c r="AK17" s="41"/>
      <c r="AL17" s="39" t="s">
        <v>132</v>
      </c>
      <c r="AM17" s="40"/>
      <c r="AN17" s="40"/>
      <c r="AO17" s="41"/>
      <c r="AP17" s="39" t="s">
        <v>133</v>
      </c>
      <c r="AQ17" s="40"/>
      <c r="AR17" s="40"/>
      <c r="AS17" s="41"/>
      <c r="AT17" s="39" t="s">
        <v>134</v>
      </c>
      <c r="AU17" s="40"/>
      <c r="AV17" s="40"/>
      <c r="AW17" s="40"/>
      <c r="AX17" s="41"/>
      <c r="AY17" s="39" t="s">
        <v>135</v>
      </c>
      <c r="AZ17" s="40"/>
      <c r="BA17" s="40"/>
      <c r="BB17" s="41"/>
      <c r="BC17" s="39" t="s">
        <v>136</v>
      </c>
      <c r="BD17" s="40"/>
      <c r="BE17" s="40"/>
      <c r="BF17" s="41"/>
      <c r="BG17" s="39" t="s">
        <v>137</v>
      </c>
      <c r="BH17" s="40"/>
      <c r="BI17" s="40"/>
      <c r="BJ17" s="40"/>
      <c r="BK17" s="41"/>
      <c r="BL17" s="39" t="s">
        <v>138</v>
      </c>
      <c r="BM17" s="40"/>
      <c r="BN17" s="40"/>
      <c r="BO17" s="41"/>
      <c r="BP17" s="39" t="s">
        <v>139</v>
      </c>
      <c r="BQ17" s="40"/>
      <c r="BR17" s="40"/>
      <c r="BS17" s="41"/>
    </row>
    <row r="18" spans="1:71" x14ac:dyDescent="0.4">
      <c r="G18" s="37">
        <v>40</v>
      </c>
      <c r="H18" s="12">
        <v>41</v>
      </c>
      <c r="I18" s="12">
        <v>42</v>
      </c>
      <c r="J18" s="12">
        <v>43</v>
      </c>
      <c r="K18" s="38">
        <v>44</v>
      </c>
      <c r="L18" s="37">
        <v>45</v>
      </c>
      <c r="M18" s="12">
        <v>46</v>
      </c>
      <c r="N18" s="12">
        <v>47</v>
      </c>
      <c r="O18" s="38">
        <v>48</v>
      </c>
      <c r="P18" s="37">
        <v>49</v>
      </c>
      <c r="Q18" s="12">
        <v>50</v>
      </c>
      <c r="R18" s="12">
        <v>51</v>
      </c>
      <c r="S18" s="38">
        <v>52</v>
      </c>
      <c r="T18" s="37">
        <v>1</v>
      </c>
      <c r="U18" s="12">
        <v>2</v>
      </c>
      <c r="V18" s="12">
        <v>3</v>
      </c>
      <c r="W18" s="12">
        <v>4</v>
      </c>
      <c r="X18" s="38">
        <v>5</v>
      </c>
      <c r="Y18" s="37">
        <v>6</v>
      </c>
      <c r="Z18" s="12">
        <v>7</v>
      </c>
      <c r="AA18" s="12">
        <v>8</v>
      </c>
      <c r="AB18" s="38">
        <v>9</v>
      </c>
      <c r="AC18" s="37">
        <v>10</v>
      </c>
      <c r="AD18" s="12">
        <v>11</v>
      </c>
      <c r="AE18" s="12">
        <v>12</v>
      </c>
      <c r="AF18" s="38">
        <v>13</v>
      </c>
      <c r="AG18" s="37">
        <v>14</v>
      </c>
      <c r="AH18" s="12">
        <v>15</v>
      </c>
      <c r="AI18" s="12">
        <v>16</v>
      </c>
      <c r="AJ18" s="12">
        <v>17</v>
      </c>
      <c r="AK18" s="38">
        <v>18</v>
      </c>
      <c r="AL18" s="37">
        <v>19</v>
      </c>
      <c r="AM18" s="12">
        <v>20</v>
      </c>
      <c r="AN18" s="12">
        <v>21</v>
      </c>
      <c r="AO18" s="38">
        <v>22</v>
      </c>
      <c r="AP18" s="37">
        <v>23</v>
      </c>
      <c r="AQ18" s="12">
        <v>24</v>
      </c>
      <c r="AR18" s="12">
        <v>25</v>
      </c>
      <c r="AS18" s="38">
        <v>26</v>
      </c>
      <c r="AT18" s="37">
        <v>27</v>
      </c>
      <c r="AU18" s="12">
        <v>28</v>
      </c>
      <c r="AV18" s="12">
        <v>29</v>
      </c>
      <c r="AW18" s="12">
        <v>30</v>
      </c>
      <c r="AX18" s="38">
        <v>31</v>
      </c>
      <c r="AY18" s="37">
        <v>32</v>
      </c>
      <c r="AZ18" s="12">
        <v>33</v>
      </c>
      <c r="BA18" s="12">
        <v>34</v>
      </c>
      <c r="BB18" s="38">
        <v>35</v>
      </c>
      <c r="BC18" s="37">
        <v>36</v>
      </c>
      <c r="BD18" s="12">
        <v>37</v>
      </c>
      <c r="BE18" s="12">
        <v>38</v>
      </c>
      <c r="BF18" s="38">
        <v>39</v>
      </c>
      <c r="BG18" s="37">
        <v>40</v>
      </c>
      <c r="BH18" s="12">
        <v>41</v>
      </c>
      <c r="BI18" s="12">
        <v>42</v>
      </c>
      <c r="BJ18" s="12">
        <v>43</v>
      </c>
      <c r="BK18" s="38">
        <v>44</v>
      </c>
      <c r="BL18" s="37">
        <v>45</v>
      </c>
      <c r="BM18" s="12">
        <v>46</v>
      </c>
      <c r="BN18" s="12">
        <v>47</v>
      </c>
      <c r="BO18" s="38">
        <v>48</v>
      </c>
      <c r="BP18" s="37">
        <v>49</v>
      </c>
      <c r="BQ18" s="12">
        <v>50</v>
      </c>
      <c r="BR18" s="12">
        <v>51</v>
      </c>
      <c r="BS18" s="38">
        <v>52</v>
      </c>
    </row>
    <row r="19" spans="1:71" ht="30" customHeight="1" x14ac:dyDescent="0.4">
      <c r="A19" s="17" t="s">
        <v>54</v>
      </c>
      <c r="B19" s="18" t="e" vm="1">
        <f>+_xlfn.XLOOKUP($A19,tab_recursos[nome_recurso],tab_recursos[foto_recurso],"")</f>
        <v>#VALUE!</v>
      </c>
      <c r="C19" s="19"/>
      <c r="D19" s="20"/>
      <c r="E19" s="20"/>
      <c r="F19" s="2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2"/>
      <c r="W19" s="52"/>
      <c r="X19" s="52"/>
      <c r="Y19" s="52"/>
      <c r="Z19" s="52"/>
      <c r="AA19" s="52"/>
      <c r="AB19" s="52"/>
      <c r="AC19" s="52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</row>
    <row r="20" spans="1:71" s="13" customFormat="1" ht="39.9" customHeight="1" x14ac:dyDescent="0.3">
      <c r="A20" s="25" t="s">
        <v>103</v>
      </c>
      <c r="B20" s="25"/>
      <c r="C20" s="23" t="e" cm="1">
        <f t="array" ref="C20">+_xlfn.XLOOKUP($A20,tab_projetos[nome_projeto],tab_projetos[[ganho_projetado]:[complexidade]])</f>
        <v>#N/A</v>
      </c>
      <c r="D20" s="24"/>
      <c r="E20" s="24"/>
      <c r="F20" s="24"/>
      <c r="G20" s="53"/>
      <c r="H20" s="53"/>
      <c r="I20" s="53"/>
      <c r="J20" s="53"/>
      <c r="K20" s="53"/>
      <c r="L20" s="53"/>
      <c r="M20" s="53"/>
      <c r="N20" s="53" t="s">
        <v>16</v>
      </c>
      <c r="O20" s="53" t="s">
        <v>15</v>
      </c>
      <c r="P20" s="53" t="s">
        <v>15</v>
      </c>
      <c r="Q20" s="53" t="s">
        <v>15</v>
      </c>
      <c r="R20" s="53" t="s">
        <v>14</v>
      </c>
      <c r="S20" s="53" t="s">
        <v>14</v>
      </c>
      <c r="T20" s="53" t="s">
        <v>191</v>
      </c>
      <c r="U20" s="53" t="s">
        <v>191</v>
      </c>
      <c r="V20" s="53" t="s">
        <v>191</v>
      </c>
      <c r="W20" s="53" t="s">
        <v>191</v>
      </c>
      <c r="X20" s="53" t="s">
        <v>191</v>
      </c>
      <c r="Y20" s="53" t="s">
        <v>17</v>
      </c>
      <c r="Z20" s="53" t="s">
        <v>17</v>
      </c>
      <c r="AA20" s="53" t="s">
        <v>18</v>
      </c>
      <c r="AB20" s="53" t="s">
        <v>18</v>
      </c>
      <c r="AC20" s="53" t="s">
        <v>165</v>
      </c>
      <c r="AD20" s="53" t="s">
        <v>165</v>
      </c>
      <c r="AE20" s="53" t="s">
        <v>164</v>
      </c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</row>
    <row r="21" spans="1:71" s="13" customFormat="1" ht="39.9" customHeight="1" x14ac:dyDescent="0.3">
      <c r="A21" s="25" t="s">
        <v>102</v>
      </c>
      <c r="B21" s="25"/>
      <c r="C21" s="23" t="e" cm="1">
        <f t="array" ref="C21">+_xlfn.XLOOKUP($A21,tab_projetos[nome_projeto],tab_projetos[[ganho_projetado]:[complexidade]])</f>
        <v>#N/A</v>
      </c>
      <c r="D21" s="24"/>
      <c r="E21" s="24"/>
      <c r="F21" s="24"/>
      <c r="G21" s="53"/>
      <c r="H21" s="53"/>
      <c r="I21" s="53"/>
      <c r="J21" s="53"/>
      <c r="K21" s="53"/>
      <c r="L21" s="53"/>
      <c r="M21" s="53"/>
      <c r="N21" s="53"/>
      <c r="O21" s="53" t="s">
        <v>16</v>
      </c>
      <c r="P21" s="53" t="s">
        <v>15</v>
      </c>
      <c r="Q21" s="53" t="s">
        <v>15</v>
      </c>
      <c r="R21" s="53" t="s">
        <v>15</v>
      </c>
      <c r="S21" s="53" t="s">
        <v>14</v>
      </c>
      <c r="T21" s="53" t="s">
        <v>191</v>
      </c>
      <c r="U21" s="53" t="s">
        <v>191</v>
      </c>
      <c r="V21" s="53" t="s">
        <v>191</v>
      </c>
      <c r="W21" s="53" t="s">
        <v>191</v>
      </c>
      <c r="X21" s="53" t="s">
        <v>191</v>
      </c>
      <c r="Y21" s="53" t="s">
        <v>17</v>
      </c>
      <c r="Z21" s="53" t="s">
        <v>18</v>
      </c>
      <c r="AA21" s="53" t="s">
        <v>18</v>
      </c>
      <c r="AB21" s="53" t="s">
        <v>165</v>
      </c>
      <c r="AC21" s="53" t="s">
        <v>165</v>
      </c>
      <c r="AD21" s="53" t="s">
        <v>164</v>
      </c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</row>
    <row r="22" spans="1:71" s="13" customFormat="1" ht="39.9" customHeight="1" x14ac:dyDescent="0.3">
      <c r="A22" s="25" t="s">
        <v>104</v>
      </c>
      <c r="B22" s="25"/>
      <c r="C22" s="23" t="e" cm="1">
        <f t="array" ref="C22">+_xlfn.XLOOKUP($A22,tab_projetos[nome_projeto],tab_projetos[[ganho_projetado]:[complexidade]])</f>
        <v>#N/A</v>
      </c>
      <c r="D22" s="24"/>
      <c r="E22" s="24"/>
      <c r="F22" s="24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 t="s">
        <v>191</v>
      </c>
      <c r="U22" s="53" t="s">
        <v>191</v>
      </c>
      <c r="V22" s="53" t="s">
        <v>191</v>
      </c>
      <c r="W22" s="53" t="s">
        <v>191</v>
      </c>
      <c r="X22" s="53" t="s">
        <v>191</v>
      </c>
      <c r="Y22" s="53"/>
      <c r="Z22" s="53"/>
      <c r="AA22" s="53"/>
      <c r="AB22" s="53"/>
      <c r="AC22" s="53" t="s">
        <v>16</v>
      </c>
      <c r="AD22" s="53" t="s">
        <v>15</v>
      </c>
      <c r="AE22" s="53" t="s">
        <v>15</v>
      </c>
      <c r="AF22" s="53" t="s">
        <v>15</v>
      </c>
      <c r="AG22" s="53" t="s">
        <v>14</v>
      </c>
      <c r="AH22" s="53" t="s">
        <v>13</v>
      </c>
      <c r="AI22" s="53" t="s">
        <v>13</v>
      </c>
      <c r="AJ22" s="53" t="s">
        <v>13</v>
      </c>
      <c r="AK22" s="53" t="s">
        <v>13</v>
      </c>
      <c r="AL22" s="53" t="s">
        <v>13</v>
      </c>
      <c r="AM22" s="53" t="s">
        <v>12</v>
      </c>
      <c r="AN22" s="53" t="s">
        <v>17</v>
      </c>
      <c r="AO22" s="53" t="s">
        <v>17</v>
      </c>
      <c r="AP22" s="53" t="s">
        <v>18</v>
      </c>
      <c r="AQ22" s="53" t="s">
        <v>18</v>
      </c>
      <c r="AR22" s="53" t="s">
        <v>165</v>
      </c>
      <c r="AS22" s="53" t="s">
        <v>165</v>
      </c>
      <c r="AT22" s="53" t="s">
        <v>164</v>
      </c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</row>
    <row r="23" spans="1:71" s="13" customFormat="1" ht="39.9" customHeight="1" x14ac:dyDescent="0.3">
      <c r="A23" s="25" t="s">
        <v>105</v>
      </c>
      <c r="B23" s="25"/>
      <c r="C23" s="23" cm="1">
        <f t="array" ref="C23:F23">+_xlfn.XLOOKUP($A23,tab_projetos[nome_projeto],tab_projetos[[ganho_projetado]:[complexidade]])</f>
        <v>3600000</v>
      </c>
      <c r="D23" s="24" t="str">
        <v>Evolução do Produto</v>
      </c>
      <c r="E23" s="24" t="str">
        <v>Evolução, Melhoria ou Adequação</v>
      </c>
      <c r="F23" s="24" t="str">
        <v>Muito Alta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 t="s">
        <v>191</v>
      </c>
      <c r="U23" s="53" t="s">
        <v>191</v>
      </c>
      <c r="V23" s="53" t="s">
        <v>191</v>
      </c>
      <c r="W23" s="53" t="s">
        <v>191</v>
      </c>
      <c r="X23" s="53" t="s">
        <v>191</v>
      </c>
      <c r="Y23" s="53"/>
      <c r="Z23" s="53"/>
      <c r="AA23" s="53"/>
      <c r="AB23" s="53"/>
      <c r="AC23" s="53" t="s">
        <v>16</v>
      </c>
      <c r="AD23" s="53" t="s">
        <v>15</v>
      </c>
      <c r="AE23" s="53" t="s">
        <v>15</v>
      </c>
      <c r="AF23" s="53" t="s">
        <v>15</v>
      </c>
      <c r="AG23" s="53" t="s">
        <v>15</v>
      </c>
      <c r="AH23" s="53" t="s">
        <v>14</v>
      </c>
      <c r="AI23" s="53" t="s">
        <v>13</v>
      </c>
      <c r="AJ23" s="53" t="s">
        <v>13</v>
      </c>
      <c r="AK23" s="53" t="s">
        <v>13</v>
      </c>
      <c r="AL23" s="53" t="s">
        <v>13</v>
      </c>
      <c r="AM23" s="53" t="s">
        <v>13</v>
      </c>
      <c r="AN23" s="53" t="s">
        <v>13</v>
      </c>
      <c r="AO23" s="53" t="s">
        <v>13</v>
      </c>
      <c r="AP23" s="53" t="s">
        <v>13</v>
      </c>
      <c r="AQ23" s="53" t="s">
        <v>13</v>
      </c>
      <c r="AR23" s="53" t="s">
        <v>13</v>
      </c>
      <c r="AS23" s="53" t="s">
        <v>13</v>
      </c>
      <c r="AT23" s="53" t="s">
        <v>13</v>
      </c>
      <c r="AU23" s="53" t="s">
        <v>13</v>
      </c>
      <c r="AV23" s="53" t="s">
        <v>13</v>
      </c>
      <c r="AW23" s="53" t="s">
        <v>13</v>
      </c>
      <c r="AX23" s="53" t="s">
        <v>13</v>
      </c>
      <c r="AY23" s="53" t="s">
        <v>12</v>
      </c>
      <c r="AZ23" s="53" t="s">
        <v>17</v>
      </c>
      <c r="BA23" s="53" t="s">
        <v>17</v>
      </c>
      <c r="BB23" s="53" t="s">
        <v>17</v>
      </c>
      <c r="BC23" s="53" t="s">
        <v>165</v>
      </c>
      <c r="BD23" s="53" t="s">
        <v>165</v>
      </c>
      <c r="BE23" s="53" t="s">
        <v>165</v>
      </c>
      <c r="BF23" s="53" t="s">
        <v>165</v>
      </c>
      <c r="BG23" s="53" t="s">
        <v>164</v>
      </c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</row>
    <row r="24" spans="1:71" s="13" customFormat="1" ht="39.9" customHeight="1" x14ac:dyDescent="0.3">
      <c r="A24" s="59" t="s">
        <v>186</v>
      </c>
      <c r="B24" s="25"/>
      <c r="C24" s="23" t="e" cm="1">
        <f t="array" ref="C24">+_xlfn.XLOOKUP($A24,tab_projetos[nome_projeto],tab_projetos[[ganho_projetado]:[complexidade]])</f>
        <v>#N/A</v>
      </c>
      <c r="D24" s="24"/>
      <c r="E24" s="24"/>
      <c r="F24" s="24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 t="s">
        <v>191</v>
      </c>
      <c r="U24" s="53" t="s">
        <v>191</v>
      </c>
      <c r="V24" s="53" t="s">
        <v>191</v>
      </c>
      <c r="W24" s="53" t="s">
        <v>191</v>
      </c>
      <c r="X24" s="53" t="s">
        <v>191</v>
      </c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 t="s">
        <v>16</v>
      </c>
      <c r="AK24" s="53" t="s">
        <v>15</v>
      </c>
      <c r="AL24" s="53" t="s">
        <v>14</v>
      </c>
      <c r="AM24" s="53" t="s">
        <v>13</v>
      </c>
      <c r="AN24" s="53" t="s">
        <v>13</v>
      </c>
      <c r="AO24" s="53" t="s">
        <v>13</v>
      </c>
      <c r="AP24" s="53" t="s">
        <v>13</v>
      </c>
      <c r="AQ24" s="53" t="s">
        <v>12</v>
      </c>
      <c r="AR24" s="53" t="s">
        <v>17</v>
      </c>
      <c r="AS24" s="53" t="s">
        <v>18</v>
      </c>
      <c r="AT24" s="53" t="s">
        <v>165</v>
      </c>
      <c r="AU24" s="53" t="s">
        <v>164</v>
      </c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</row>
    <row r="25" spans="1:71" s="13" customFormat="1" ht="39.9" customHeight="1" x14ac:dyDescent="0.3">
      <c r="A25" s="59" t="s">
        <v>187</v>
      </c>
      <c r="B25" s="25"/>
      <c r="C25" s="23" t="e" cm="1">
        <f t="array" ref="C25">+_xlfn.XLOOKUP($A25,tab_projetos[nome_projeto],tab_projetos[[ganho_projetado]:[complexidade]])</f>
        <v>#N/A</v>
      </c>
      <c r="D25" s="24"/>
      <c r="E25" s="24"/>
      <c r="F25" s="24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 t="s">
        <v>191</v>
      </c>
      <c r="U25" s="53" t="s">
        <v>191</v>
      </c>
      <c r="V25" s="53" t="s">
        <v>191</v>
      </c>
      <c r="W25" s="53" t="s">
        <v>191</v>
      </c>
      <c r="X25" s="53" t="s">
        <v>191</v>
      </c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 t="s">
        <v>16</v>
      </c>
      <c r="AM25" s="53" t="s">
        <v>15</v>
      </c>
      <c r="AN25" s="53" t="s">
        <v>15</v>
      </c>
      <c r="AO25" s="53" t="s">
        <v>15</v>
      </c>
      <c r="AP25" s="53" t="s">
        <v>14</v>
      </c>
      <c r="AQ25" s="53" t="s">
        <v>14</v>
      </c>
      <c r="AR25" s="53" t="s">
        <v>13</v>
      </c>
      <c r="AS25" s="53" t="s">
        <v>13</v>
      </c>
      <c r="AT25" s="53" t="s">
        <v>13</v>
      </c>
      <c r="AU25" s="53" t="s">
        <v>13</v>
      </c>
      <c r="AV25" s="53" t="s">
        <v>13</v>
      </c>
      <c r="AW25" s="53" t="s">
        <v>13</v>
      </c>
      <c r="AX25" s="53" t="s">
        <v>13</v>
      </c>
      <c r="AY25" s="53" t="s">
        <v>13</v>
      </c>
      <c r="AZ25" s="53" t="s">
        <v>12</v>
      </c>
      <c r="BA25" s="53" t="s">
        <v>17</v>
      </c>
      <c r="BB25" s="53" t="s">
        <v>17</v>
      </c>
      <c r="BC25" s="53" t="s">
        <v>18</v>
      </c>
      <c r="BD25" s="53" t="s">
        <v>18</v>
      </c>
      <c r="BE25" s="53" t="s">
        <v>165</v>
      </c>
      <c r="BF25" s="53" t="s">
        <v>165</v>
      </c>
      <c r="BG25" s="53" t="s">
        <v>164</v>
      </c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</row>
    <row r="26" spans="1:71" s="13" customFormat="1" ht="39.9" customHeight="1" x14ac:dyDescent="0.3">
      <c r="A26" s="60" t="s">
        <v>188</v>
      </c>
      <c r="C26" s="11" t="e" cm="1">
        <f t="array" ref="C26">+_xlfn.XLOOKUP($A26,tab_projetos[nome_projeto],tab_projetos[[ganho_projetado]:[complexidade]])</f>
        <v>#N/A</v>
      </c>
      <c r="D26" s="12"/>
      <c r="E26" s="12"/>
      <c r="F26" s="12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 t="s">
        <v>191</v>
      </c>
      <c r="U26" s="46" t="s">
        <v>191</v>
      </c>
      <c r="V26" s="46" t="s">
        <v>191</v>
      </c>
      <c r="W26" s="46" t="s">
        <v>191</v>
      </c>
      <c r="X26" s="46" t="s">
        <v>191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 t="s">
        <v>16</v>
      </c>
      <c r="AW26" s="46" t="s">
        <v>15</v>
      </c>
      <c r="AX26" s="46" t="s">
        <v>15</v>
      </c>
      <c r="AY26" s="46" t="s">
        <v>15</v>
      </c>
      <c r="AZ26" s="46" t="s">
        <v>14</v>
      </c>
      <c r="BA26" s="46" t="s">
        <v>14</v>
      </c>
      <c r="BB26" s="46" t="s">
        <v>13</v>
      </c>
      <c r="BC26" s="46" t="s">
        <v>13</v>
      </c>
      <c r="BD26" s="46" t="s">
        <v>13</v>
      </c>
      <c r="BE26" s="46" t="s">
        <v>13</v>
      </c>
      <c r="BF26" s="46" t="s">
        <v>13</v>
      </c>
      <c r="BG26" s="46" t="s">
        <v>13</v>
      </c>
      <c r="BH26" s="46" t="s">
        <v>13</v>
      </c>
      <c r="BI26" s="46" t="s">
        <v>13</v>
      </c>
      <c r="BJ26" s="46" t="s">
        <v>12</v>
      </c>
      <c r="BK26" s="46" t="s">
        <v>17</v>
      </c>
      <c r="BL26" s="46" t="s">
        <v>17</v>
      </c>
      <c r="BM26" s="46" t="s">
        <v>18</v>
      </c>
      <c r="BN26" s="46" t="s">
        <v>18</v>
      </c>
      <c r="BO26" s="46" t="s">
        <v>165</v>
      </c>
      <c r="BP26" s="46" t="s">
        <v>165</v>
      </c>
      <c r="BQ26" s="46" t="s">
        <v>164</v>
      </c>
      <c r="BR26" s="46"/>
      <c r="BS26" s="46"/>
    </row>
    <row r="27" spans="1:71" ht="30" customHeight="1" x14ac:dyDescent="0.4">
      <c r="A27" s="17" t="s">
        <v>55</v>
      </c>
      <c r="B27" s="18" t="str">
        <f>+_xlfn.XLOOKUP($A27,tab_recursos[nome_recurso],tab_recursos[foto_recurso],"")</f>
        <v/>
      </c>
      <c r="C27" s="19"/>
      <c r="D27" s="20"/>
      <c r="E27" s="20"/>
      <c r="F27" s="2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2"/>
      <c r="W27" s="52"/>
      <c r="X27" s="52"/>
      <c r="Y27" s="52"/>
      <c r="Z27" s="52"/>
      <c r="AA27" s="52"/>
      <c r="AB27" s="52"/>
      <c r="AC27" s="52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</row>
    <row r="28" spans="1:71" s="13" customFormat="1" ht="39.9" customHeight="1" x14ac:dyDescent="0.3">
      <c r="A28" s="25" t="s">
        <v>103</v>
      </c>
      <c r="B28" s="25"/>
      <c r="C28" s="23" t="e" cm="1">
        <f t="array" ref="C28">+_xlfn.XLOOKUP($A28,tab_projetos[nome_projeto],tab_projetos[[ganho_projetado]:[complexidade]])</f>
        <v>#N/A</v>
      </c>
      <c r="D28" s="24"/>
      <c r="E28" s="24"/>
      <c r="F28" s="24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 t="s">
        <v>13</v>
      </c>
      <c r="U28" s="53" t="s">
        <v>13</v>
      </c>
      <c r="V28" s="53" t="s">
        <v>13</v>
      </c>
      <c r="W28" s="53" t="s">
        <v>13</v>
      </c>
      <c r="X28" s="53" t="s">
        <v>12</v>
      </c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</row>
    <row r="29" spans="1:71" s="13" customFormat="1" ht="39.9" customHeight="1" x14ac:dyDescent="0.3">
      <c r="A29" s="25" t="s">
        <v>104</v>
      </c>
      <c r="B29" s="25"/>
      <c r="C29" s="23" t="e" cm="1">
        <f t="array" ref="C29">+_xlfn.XLOOKUP($A29,tab_projetos[nome_projeto],tab_projetos[[ganho_projetado]:[complexidade]])</f>
        <v>#N/A</v>
      </c>
      <c r="D29" s="24"/>
      <c r="E29" s="24"/>
      <c r="F29" s="24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</row>
    <row r="30" spans="1:71" s="13" customFormat="1" ht="39.9" customHeight="1" x14ac:dyDescent="0.3">
      <c r="A30" s="59" t="s">
        <v>186</v>
      </c>
      <c r="B30" s="25"/>
      <c r="C30" s="23" t="e" cm="1">
        <f t="array" ref="C30">+_xlfn.XLOOKUP($A30,tab_projetos[nome_projeto],tab_projetos[[ganho_projetado]:[complexidade]])</f>
        <v>#N/A</v>
      </c>
      <c r="D30" s="24"/>
      <c r="E30" s="24"/>
      <c r="F30" s="24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</row>
    <row r="31" spans="1:71" s="13" customFormat="1" ht="39.9" customHeight="1" x14ac:dyDescent="0.3">
      <c r="A31" s="59" t="s">
        <v>187</v>
      </c>
      <c r="B31" s="25"/>
      <c r="C31" s="23" t="e" cm="1">
        <f t="array" ref="C31">+_xlfn.XLOOKUP($A31,tab_projetos[nome_projeto],tab_projetos[[ganho_projetado]:[complexidade]])</f>
        <v>#N/A</v>
      </c>
      <c r="D31" s="24"/>
      <c r="E31" s="24"/>
      <c r="F31" s="24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</row>
    <row r="32" spans="1:71" s="13" customFormat="1" ht="39.9" customHeight="1" x14ac:dyDescent="0.3">
      <c r="A32" s="60" t="s">
        <v>188</v>
      </c>
      <c r="C32" s="11" t="e" cm="1">
        <f t="array" ref="C32">+_xlfn.XLOOKUP($A32,tab_projetos[nome_projeto],tab_projetos[[ganho_projetado]:[complexidade]])</f>
        <v>#N/A</v>
      </c>
      <c r="D32" s="12"/>
      <c r="E32" s="12"/>
      <c r="F32" s="12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</row>
    <row r="33" spans="1:71" ht="30" customHeight="1" x14ac:dyDescent="0.4">
      <c r="A33" s="17" t="s">
        <v>56</v>
      </c>
      <c r="B33" s="18" t="e" vm="2">
        <f>+_xlfn.XLOOKUP($A33,tab_recursos[nome_recurso],tab_recursos[foto_recurso],"")</f>
        <v>#VALUE!</v>
      </c>
      <c r="C33" s="19"/>
      <c r="D33" s="20"/>
      <c r="E33" s="20"/>
      <c r="F33" s="20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2"/>
      <c r="W33" s="52"/>
      <c r="X33" s="52"/>
      <c r="Y33" s="52"/>
      <c r="Z33" s="52"/>
      <c r="AA33" s="52"/>
      <c r="AB33" s="52"/>
      <c r="AC33" s="52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</row>
    <row r="34" spans="1:71" s="13" customFormat="1" ht="39.9" customHeight="1" x14ac:dyDescent="0.3">
      <c r="A34" s="25" t="s">
        <v>103</v>
      </c>
      <c r="B34" s="25"/>
      <c r="C34" s="23" t="e" cm="1">
        <f t="array" ref="C34">+_xlfn.XLOOKUP($A34,tab_projetos[nome_projeto],tab_projetos[[ganho_projetado]:[complexidade]])</f>
        <v>#N/A</v>
      </c>
      <c r="D34" s="24"/>
      <c r="E34" s="24"/>
      <c r="F34" s="24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</row>
    <row r="35" spans="1:71" s="13" customFormat="1" ht="39.9" customHeight="1" x14ac:dyDescent="0.3">
      <c r="A35" s="25" t="s">
        <v>102</v>
      </c>
      <c r="B35" s="25"/>
      <c r="C35" s="23" t="e" cm="1">
        <f t="array" ref="C35">+_xlfn.XLOOKUP($A35,tab_projetos[nome_projeto],tab_projetos[[ganho_projetado]:[complexidade]])</f>
        <v>#N/A</v>
      </c>
      <c r="D35" s="24"/>
      <c r="E35" s="24"/>
      <c r="F35" s="24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</row>
    <row r="36" spans="1:71" s="13" customFormat="1" ht="39.9" customHeight="1" x14ac:dyDescent="0.3">
      <c r="A36" s="25" t="s">
        <v>104</v>
      </c>
      <c r="B36" s="25"/>
      <c r="C36" s="23" t="e" cm="1">
        <f t="array" ref="C36">+_xlfn.XLOOKUP($A36,tab_projetos[nome_projeto],tab_projetos[[ganho_projetado]:[complexidade]])</f>
        <v>#N/A</v>
      </c>
      <c r="D36" s="24"/>
      <c r="E36" s="24"/>
      <c r="F36" s="24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</row>
    <row r="37" spans="1:71" s="13" customFormat="1" ht="39.9" customHeight="1" x14ac:dyDescent="0.3">
      <c r="A37" s="59" t="s">
        <v>105</v>
      </c>
      <c r="B37" s="25"/>
      <c r="C37" s="23" cm="1">
        <f t="array" ref="C37:F37">+_xlfn.XLOOKUP($A37,tab_projetos[nome_projeto],tab_projetos[[ganho_projetado]:[complexidade]])</f>
        <v>3600000</v>
      </c>
      <c r="D37" s="24" t="str">
        <v>Evolução do Produto</v>
      </c>
      <c r="E37" s="24" t="str">
        <v>Evolução, Melhoria ou Adequação</v>
      </c>
      <c r="F37" s="24" t="str">
        <v>Muito Alta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</row>
    <row r="38" spans="1:71" s="13" customFormat="1" ht="39.9" customHeight="1" x14ac:dyDescent="0.3">
      <c r="A38" s="59" t="s">
        <v>186</v>
      </c>
      <c r="B38" s="25"/>
      <c r="C38" s="23" t="e" cm="1">
        <f t="array" ref="C38">+_xlfn.XLOOKUP($A38,tab_projetos[nome_projeto],tab_projetos[[ganho_projetado]:[complexidade]])</f>
        <v>#N/A</v>
      </c>
      <c r="D38" s="24"/>
      <c r="E38" s="24"/>
      <c r="F38" s="24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</row>
    <row r="39" spans="1:71" s="13" customFormat="1" ht="39.9" customHeight="1" x14ac:dyDescent="0.3">
      <c r="A39" s="59" t="s">
        <v>187</v>
      </c>
      <c r="B39" s="25"/>
      <c r="C39" s="23" t="e" cm="1">
        <f t="array" ref="C39">+_xlfn.XLOOKUP($A39,tab_projetos[nome_projeto],tab_projetos[[ganho_projetado]:[complexidade]])</f>
        <v>#N/A</v>
      </c>
      <c r="D39" s="24"/>
      <c r="E39" s="24"/>
      <c r="F39" s="24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</row>
    <row r="40" spans="1:71" s="13" customFormat="1" ht="39.9" customHeight="1" x14ac:dyDescent="0.3">
      <c r="A40" s="60" t="s">
        <v>188</v>
      </c>
      <c r="C40" s="11" t="e" cm="1">
        <f t="array" ref="C40">+_xlfn.XLOOKUP($A40,tab_projetos[nome_projeto],tab_projetos[[ganho_projetado]:[complexidade]])</f>
        <v>#N/A</v>
      </c>
      <c r="D40" s="12"/>
      <c r="E40" s="12"/>
      <c r="F40" s="12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</row>
    <row r="41" spans="1:71" ht="30" customHeight="1" x14ac:dyDescent="0.4">
      <c r="A41" s="17" t="s">
        <v>57</v>
      </c>
      <c r="B41" s="18" t="e" vm="3">
        <f>+_xlfn.XLOOKUP($A41,tab_recursos[nome_recurso],tab_recursos[foto_recurso],"")</f>
        <v>#VALUE!</v>
      </c>
      <c r="C41" s="19"/>
      <c r="D41" s="20"/>
      <c r="E41" s="20"/>
      <c r="F41" s="20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2"/>
      <c r="W41" s="52"/>
      <c r="X41" s="52"/>
      <c r="Y41" s="52"/>
      <c r="Z41" s="52"/>
      <c r="AA41" s="52"/>
      <c r="AB41" s="52"/>
      <c r="AC41" s="52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</row>
    <row r="42" spans="1:71" s="13" customFormat="1" ht="39.9" customHeight="1" x14ac:dyDescent="0.3">
      <c r="A42" s="26" t="s">
        <v>102</v>
      </c>
      <c r="B42" s="26"/>
      <c r="C42" s="21" t="e" cm="1">
        <f t="array" ref="C42">+_xlfn.XLOOKUP($A42,tab_projetos[nome_projeto],tab_projetos[[ganho_projetado]:[complexidade]])</f>
        <v>#N/A</v>
      </c>
      <c r="D42" s="22"/>
      <c r="E42" s="22"/>
      <c r="F42" s="22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 t="s">
        <v>13</v>
      </c>
      <c r="U42" s="54" t="s">
        <v>13</v>
      </c>
      <c r="V42" s="54" t="s">
        <v>13</v>
      </c>
      <c r="W42" s="54" t="s">
        <v>12</v>
      </c>
      <c r="X42" s="54" t="s">
        <v>17</v>
      </c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</row>
    <row r="43" spans="1:71" s="13" customFormat="1" ht="39.9" customHeight="1" x14ac:dyDescent="0.3">
      <c r="A43" s="25" t="s">
        <v>105</v>
      </c>
      <c r="B43" s="25"/>
      <c r="C43" s="23"/>
      <c r="D43" s="24"/>
      <c r="E43" s="24"/>
      <c r="F43" s="24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</row>
  </sheetData>
  <conditionalFormatting sqref="G6:BS1010">
    <cfRule type="cellIs" dxfId="8" priority="1" operator="equal">
      <formula>"IN"</formula>
    </cfRule>
    <cfRule type="cellIs" dxfId="7" priority="2" operator="equal">
      <formula>"ES"</formula>
    </cfRule>
    <cfRule type="cellIs" dxfId="6" priority="3" operator="equal">
      <formula>"PL"</formula>
    </cfRule>
    <cfRule type="cellIs" dxfId="5" priority="4" operator="equal">
      <formula>"DE"</formula>
    </cfRule>
    <cfRule type="cellIs" dxfId="4" priority="5" operator="equal">
      <formula>"QA"</formula>
    </cfRule>
    <cfRule type="cellIs" dxfId="3" priority="6" operator="equal">
      <formula>"HO"</formula>
    </cfRule>
    <cfRule type="cellIs" dxfId="2" priority="7" operator="equal">
      <formula>"IM"</formula>
    </cfRule>
    <cfRule type="cellIs" dxfId="1" priority="8" operator="equal">
      <formula>"OA"</formula>
    </cfRule>
    <cfRule type="cellIs" dxfId="0" priority="9" operator="equal">
      <formula>"EN"</formula>
    </cfRule>
  </conditionalFormatting>
  <pageMargins left="0.25" right="0.25" top="0.75" bottom="0.75" header="0.3" footer="0.3"/>
  <pageSetup paperSize="8" scale="4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F97D3B0-1FD4-4C36-BCB0-AF0BA72CE170}">
          <x14:formula1>
            <xm:f>tab_etapas!$C$2:$C$1000</xm:f>
          </x14:formula1>
          <xm:sqref>G28:BS32 G42:BS44 G20:BS26 G34:BS40</xm:sqref>
        </x14:dataValidation>
        <x14:dataValidation type="list" allowBlank="1" showInputMessage="1" showErrorMessage="1" xr:uid="{A45DC509-2E91-4127-91E8-66EC047F5572}">
          <x14:formula1>
            <xm:f>tab_recursos!$B$2:$B$1000</xm:f>
          </x14:formula1>
          <xm:sqref>A19:B19 A27:B27 A33:B33 A41:B41</xm:sqref>
        </x14:dataValidation>
        <x14:dataValidation type="list" allowBlank="1" showInputMessage="1" showErrorMessage="1" xr:uid="{F537ADD7-736B-4B79-9C9E-92BCC35323AA}">
          <x14:formula1>
            <xm:f>tab_projetos!$C$2:$C$992</xm:f>
          </x14:formula1>
          <xm:sqref>A28:A32 A34:A40 A20:B26 A42:A1015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C6F7-8A9E-470B-A8A6-8AFF4279064A}">
  <sheetPr codeName="Planilha2"/>
  <dimension ref="A1:AA9"/>
  <sheetViews>
    <sheetView showGridLines="0" zoomScale="85" zoomScaleNormal="85" workbookViewId="0">
      <pane xSplit="3" topLeftCell="D1" activePane="topRight" state="frozen"/>
      <selection pane="topRight" activeCell="T10" sqref="T10"/>
    </sheetView>
  </sheetViews>
  <sheetFormatPr defaultRowHeight="14.4" x14ac:dyDescent="0.3"/>
  <cols>
    <col min="1" max="2" width="15.6640625" style="3" customWidth="1"/>
    <col min="3" max="3" width="61.44140625" bestFit="1" customWidth="1"/>
    <col min="4" max="5" width="20.6640625" style="3" customWidth="1"/>
    <col min="6" max="6" width="20.6640625" style="9" customWidth="1"/>
    <col min="7" max="7" width="20.6640625" style="3" customWidth="1"/>
    <col min="8" max="8" width="40.6640625" style="3" customWidth="1"/>
    <col min="9" max="13" width="20.6640625" style="3" customWidth="1"/>
    <col min="14" max="22" width="20.6640625" customWidth="1"/>
    <col min="23" max="27" width="50.6640625" customWidth="1"/>
  </cols>
  <sheetData>
    <row r="1" spans="1:27" x14ac:dyDescent="0.3">
      <c r="A1" s="3" t="s">
        <v>99</v>
      </c>
      <c r="B1" s="3" t="s">
        <v>291</v>
      </c>
      <c r="C1" t="s">
        <v>22</v>
      </c>
      <c r="D1" s="3" t="s">
        <v>23</v>
      </c>
      <c r="E1" s="3" t="s">
        <v>124</v>
      </c>
      <c r="F1" s="9" t="s">
        <v>123</v>
      </c>
      <c r="G1" s="3" t="s">
        <v>101</v>
      </c>
      <c r="H1" s="3" t="s">
        <v>112</v>
      </c>
      <c r="I1" s="3" t="s">
        <v>100</v>
      </c>
      <c r="J1" s="3" t="s">
        <v>281</v>
      </c>
      <c r="K1" s="3" t="s">
        <v>282</v>
      </c>
      <c r="L1" s="3" t="s">
        <v>283</v>
      </c>
      <c r="M1" s="3" t="s">
        <v>284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  <c r="S1" s="3" t="s">
        <v>152</v>
      </c>
      <c r="T1" s="3" t="s">
        <v>153</v>
      </c>
      <c r="U1" s="3" t="s">
        <v>154</v>
      </c>
      <c r="V1" s="3" t="s">
        <v>155</v>
      </c>
      <c r="W1" s="3" t="s">
        <v>156</v>
      </c>
      <c r="X1" s="3" t="s">
        <v>157</v>
      </c>
      <c r="Y1" s="3" t="s">
        <v>166</v>
      </c>
      <c r="Z1" s="3" t="s">
        <v>167</v>
      </c>
      <c r="AA1" s="3" t="s">
        <v>168</v>
      </c>
    </row>
    <row r="2" spans="1:27" x14ac:dyDescent="0.3">
      <c r="A2" s="3">
        <f t="shared" ref="A2:A6" si="0">+ROW(C2)-1</f>
        <v>1</v>
      </c>
      <c r="B2" s="3" t="s">
        <v>293</v>
      </c>
      <c r="C2" t="s">
        <v>302</v>
      </c>
      <c r="D2" s="3" t="s">
        <v>35</v>
      </c>
      <c r="E2" s="3">
        <v>1</v>
      </c>
      <c r="F2" s="9">
        <v>0</v>
      </c>
      <c r="G2" s="3" t="s">
        <v>109</v>
      </c>
      <c r="H2" s="3" t="s">
        <v>121</v>
      </c>
      <c r="I2" s="3" t="s">
        <v>10</v>
      </c>
      <c r="N2" s="3">
        <v>1</v>
      </c>
      <c r="O2" s="3">
        <v>3</v>
      </c>
      <c r="P2" s="3">
        <v>1</v>
      </c>
      <c r="Q2" s="3">
        <v>5</v>
      </c>
      <c r="R2" s="3">
        <v>1</v>
      </c>
      <c r="S2" s="3">
        <v>2</v>
      </c>
      <c r="T2" s="3">
        <v>2</v>
      </c>
      <c r="U2" s="3">
        <v>2</v>
      </c>
      <c r="V2" s="3">
        <v>1</v>
      </c>
      <c r="W2" s="3" t="s">
        <v>54</v>
      </c>
      <c r="X2" s="3" t="s">
        <v>316</v>
      </c>
      <c r="Y2" s="3" t="s">
        <v>56</v>
      </c>
      <c r="Z2" s="3"/>
      <c r="AA2" s="3"/>
    </row>
    <row r="3" spans="1:27" x14ac:dyDescent="0.3">
      <c r="A3" s="3">
        <f t="shared" si="0"/>
        <v>2</v>
      </c>
      <c r="B3" s="3" t="s">
        <v>293</v>
      </c>
      <c r="C3" t="s">
        <v>304</v>
      </c>
      <c r="D3" s="3" t="s">
        <v>35</v>
      </c>
      <c r="E3" s="3">
        <v>2</v>
      </c>
      <c r="F3" s="9">
        <v>0</v>
      </c>
      <c r="G3" s="3" t="s">
        <v>109</v>
      </c>
      <c r="H3" s="3" t="s">
        <v>121</v>
      </c>
      <c r="I3" s="3" t="s">
        <v>10</v>
      </c>
      <c r="N3" s="3">
        <v>1</v>
      </c>
      <c r="O3" s="3">
        <v>3</v>
      </c>
      <c r="P3" s="3">
        <v>1</v>
      </c>
      <c r="Q3" s="3">
        <v>5</v>
      </c>
      <c r="R3" s="3">
        <v>1</v>
      </c>
      <c r="S3" s="3">
        <v>2</v>
      </c>
      <c r="T3" s="3">
        <v>2</v>
      </c>
      <c r="U3" s="3">
        <v>2</v>
      </c>
      <c r="V3" s="3">
        <v>1</v>
      </c>
      <c r="W3" s="3" t="s">
        <v>54</v>
      </c>
      <c r="X3" s="3" t="s">
        <v>57</v>
      </c>
      <c r="Y3" s="3" t="s">
        <v>56</v>
      </c>
      <c r="Z3" s="3"/>
      <c r="AA3" s="3"/>
    </row>
    <row r="4" spans="1:27" x14ac:dyDescent="0.3">
      <c r="A4" s="3">
        <f t="shared" si="0"/>
        <v>3</v>
      </c>
      <c r="B4" s="3" t="s">
        <v>293</v>
      </c>
      <c r="C4" t="s">
        <v>307</v>
      </c>
      <c r="D4" s="3" t="s">
        <v>35</v>
      </c>
      <c r="E4" s="3">
        <v>3</v>
      </c>
      <c r="F4" s="9">
        <v>1200000</v>
      </c>
      <c r="G4" s="3" t="s">
        <v>107</v>
      </c>
      <c r="H4" s="3" t="s">
        <v>114</v>
      </c>
      <c r="I4" s="3" t="s">
        <v>8</v>
      </c>
      <c r="N4" s="3">
        <v>1</v>
      </c>
      <c r="O4" s="3">
        <v>3</v>
      </c>
      <c r="P4" s="3">
        <v>1</v>
      </c>
      <c r="Q4" s="3">
        <v>3</v>
      </c>
      <c r="R4" s="3">
        <v>1</v>
      </c>
      <c r="S4" s="3">
        <v>2</v>
      </c>
      <c r="T4" s="3">
        <v>2</v>
      </c>
      <c r="U4" s="3">
        <v>2</v>
      </c>
      <c r="V4" s="3">
        <v>1</v>
      </c>
      <c r="W4" s="3" t="s">
        <v>276</v>
      </c>
      <c r="X4" s="3" t="s">
        <v>56</v>
      </c>
      <c r="Y4" s="3" t="s">
        <v>316</v>
      </c>
      <c r="Z4" s="3"/>
      <c r="AA4" s="3"/>
    </row>
    <row r="5" spans="1:27" x14ac:dyDescent="0.3">
      <c r="A5" s="3">
        <f t="shared" si="0"/>
        <v>4</v>
      </c>
      <c r="B5" s="3" t="s">
        <v>293</v>
      </c>
      <c r="C5" t="s">
        <v>189</v>
      </c>
      <c r="D5" s="3" t="s">
        <v>35</v>
      </c>
      <c r="E5" s="3">
        <v>4</v>
      </c>
      <c r="F5" s="9">
        <v>3600000</v>
      </c>
      <c r="G5" s="3" t="s">
        <v>110</v>
      </c>
      <c r="H5" s="3" t="s">
        <v>121</v>
      </c>
      <c r="I5" s="3" t="s">
        <v>21</v>
      </c>
      <c r="N5" s="3">
        <v>1</v>
      </c>
      <c r="O5" s="3">
        <v>3</v>
      </c>
      <c r="P5" s="3">
        <v>2</v>
      </c>
      <c r="Q5" s="3">
        <v>4</v>
      </c>
      <c r="R5" s="3">
        <v>1</v>
      </c>
      <c r="S5" s="3">
        <v>2</v>
      </c>
      <c r="T5" s="3">
        <v>2</v>
      </c>
      <c r="U5" s="3">
        <v>2</v>
      </c>
      <c r="V5" s="3">
        <v>1</v>
      </c>
      <c r="W5" s="3" t="s">
        <v>276</v>
      </c>
      <c r="X5" s="3" t="s">
        <v>57</v>
      </c>
      <c r="Y5" s="3" t="s">
        <v>56</v>
      </c>
      <c r="Z5" s="3"/>
      <c r="AA5" s="3"/>
    </row>
    <row r="6" spans="1:27" x14ac:dyDescent="0.3">
      <c r="A6" s="3">
        <f t="shared" si="0"/>
        <v>5</v>
      </c>
      <c r="B6" s="3" t="s">
        <v>293</v>
      </c>
      <c r="C6" t="s">
        <v>305</v>
      </c>
      <c r="D6" s="3" t="s">
        <v>35</v>
      </c>
      <c r="E6" s="3">
        <v>5</v>
      </c>
      <c r="F6" s="9">
        <v>6900000</v>
      </c>
      <c r="G6" s="3" t="s">
        <v>2</v>
      </c>
      <c r="H6" s="3" t="s">
        <v>114</v>
      </c>
      <c r="I6" s="3" t="s">
        <v>10</v>
      </c>
      <c r="N6" s="3">
        <v>1</v>
      </c>
      <c r="O6" s="3">
        <v>2</v>
      </c>
      <c r="P6" s="3">
        <v>1</v>
      </c>
      <c r="Q6" s="3">
        <v>4</v>
      </c>
      <c r="R6" s="3">
        <v>1</v>
      </c>
      <c r="S6" s="3">
        <v>2</v>
      </c>
      <c r="T6" s="3">
        <v>2</v>
      </c>
      <c r="U6" s="3">
        <v>2</v>
      </c>
      <c r="V6" s="3">
        <v>1</v>
      </c>
      <c r="W6" s="3" t="s">
        <v>54</v>
      </c>
      <c r="X6" s="3" t="s">
        <v>57</v>
      </c>
      <c r="Y6" s="3" t="s">
        <v>56</v>
      </c>
      <c r="Z6" s="3"/>
      <c r="AA6" s="3"/>
    </row>
    <row r="7" spans="1:27" x14ac:dyDescent="0.3">
      <c r="A7" s="3">
        <f>+ROW(C7)-1</f>
        <v>6</v>
      </c>
      <c r="B7" s="3" t="s">
        <v>293</v>
      </c>
      <c r="C7" t="s">
        <v>278</v>
      </c>
      <c r="D7" s="3" t="s">
        <v>35</v>
      </c>
      <c r="E7" s="3">
        <v>6</v>
      </c>
      <c r="F7" s="9">
        <v>0</v>
      </c>
      <c r="G7" s="3" t="s">
        <v>109</v>
      </c>
      <c r="H7" s="3" t="s">
        <v>121</v>
      </c>
      <c r="I7" s="3" t="s">
        <v>10</v>
      </c>
      <c r="N7" s="3">
        <v>1</v>
      </c>
      <c r="O7" s="3">
        <v>3</v>
      </c>
      <c r="P7" s="3">
        <v>2</v>
      </c>
      <c r="Q7" s="3">
        <v>3</v>
      </c>
      <c r="R7" s="3">
        <v>2</v>
      </c>
      <c r="S7" s="3">
        <v>2</v>
      </c>
      <c r="T7" s="3">
        <v>3</v>
      </c>
      <c r="U7" s="3">
        <v>2</v>
      </c>
      <c r="V7" s="3">
        <v>1</v>
      </c>
      <c r="W7" s="3" t="s">
        <v>54</v>
      </c>
      <c r="X7" s="3" t="s">
        <v>316</v>
      </c>
      <c r="Y7" s="3"/>
      <c r="Z7" s="3"/>
      <c r="AA7" s="3"/>
    </row>
    <row r="8" spans="1:27" x14ac:dyDescent="0.3">
      <c r="A8" s="3">
        <f>+ROW(C8)-1</f>
        <v>7</v>
      </c>
      <c r="B8" s="3" t="s">
        <v>293</v>
      </c>
      <c r="C8" t="s">
        <v>279</v>
      </c>
      <c r="D8" s="3" t="s">
        <v>35</v>
      </c>
      <c r="E8" s="3">
        <v>7</v>
      </c>
      <c r="F8" s="9">
        <v>0</v>
      </c>
      <c r="G8" s="3" t="s">
        <v>109</v>
      </c>
      <c r="H8" s="3" t="s">
        <v>121</v>
      </c>
      <c r="I8" s="3" t="s">
        <v>10</v>
      </c>
      <c r="N8" s="3">
        <v>1</v>
      </c>
      <c r="O8" s="3">
        <v>2</v>
      </c>
      <c r="P8" s="3">
        <v>1</v>
      </c>
      <c r="Q8" s="3">
        <v>2</v>
      </c>
      <c r="R8" s="3">
        <v>1</v>
      </c>
      <c r="S8" s="3">
        <v>2</v>
      </c>
      <c r="T8" s="3">
        <v>4</v>
      </c>
      <c r="U8" s="3">
        <v>2</v>
      </c>
      <c r="V8" s="3">
        <v>1</v>
      </c>
      <c r="W8" s="3" t="s">
        <v>276</v>
      </c>
      <c r="X8" s="3" t="s">
        <v>57</v>
      </c>
      <c r="Y8" s="3" t="s">
        <v>56</v>
      </c>
      <c r="Z8" s="3"/>
      <c r="AA8" s="3"/>
    </row>
    <row r="9" spans="1:27" x14ac:dyDescent="0.3">
      <c r="A9" s="3">
        <f>+ROW(C9)-1</f>
        <v>8</v>
      </c>
      <c r="B9" s="3" t="s">
        <v>293</v>
      </c>
      <c r="C9" t="s">
        <v>280</v>
      </c>
      <c r="D9" s="3" t="s">
        <v>35</v>
      </c>
      <c r="E9" s="3">
        <v>8</v>
      </c>
      <c r="F9" s="9">
        <v>0</v>
      </c>
      <c r="G9" s="3" t="s">
        <v>109</v>
      </c>
      <c r="H9" s="3" t="s">
        <v>121</v>
      </c>
      <c r="I9" s="3" t="s">
        <v>10</v>
      </c>
      <c r="N9" s="3">
        <v>1</v>
      </c>
      <c r="O9" s="3">
        <v>3</v>
      </c>
      <c r="P9" s="3">
        <v>2</v>
      </c>
      <c r="Q9" s="3">
        <v>4</v>
      </c>
      <c r="R9" s="3">
        <v>2</v>
      </c>
      <c r="S9" s="3">
        <v>2</v>
      </c>
      <c r="T9" s="3">
        <v>2</v>
      </c>
      <c r="U9" s="3">
        <v>2</v>
      </c>
      <c r="V9" s="3">
        <v>1</v>
      </c>
      <c r="W9" s="3" t="s">
        <v>276</v>
      </c>
      <c r="X9" s="3" t="s">
        <v>316</v>
      </c>
      <c r="Y9" s="3" t="s">
        <v>56</v>
      </c>
      <c r="Z9" s="3"/>
      <c r="AA9" s="3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ADB6F0E-C8D6-49FA-AC13-3592811E85F1}">
          <x14:formula1>
            <xm:f>tab_squad!$B$2:$B$1000</xm:f>
          </x14:formula1>
          <xm:sqref>D2:D9</xm:sqref>
        </x14:dataValidation>
        <x14:dataValidation type="list" allowBlank="1" showInputMessage="1" showErrorMessage="1" xr:uid="{F0707C68-CF54-4071-A7BE-E5B0C7FB95A1}">
          <x14:formula1>
            <xm:f>tab_tag!$B$2:$B$1000</xm:f>
          </x14:formula1>
          <xm:sqref>G2:G9</xm:sqref>
        </x14:dataValidation>
        <x14:dataValidation type="list" allowBlank="1" showInputMessage="1" showErrorMessage="1" xr:uid="{9CCF5E81-86BA-40EE-A67D-6E5BCC6C769E}">
          <x14:formula1>
            <xm:f>tab_classificacao!$B$2:$B$1000</xm:f>
          </x14:formula1>
          <xm:sqref>H2:H9</xm:sqref>
        </x14:dataValidation>
        <x14:dataValidation type="list" allowBlank="1" showInputMessage="1" showErrorMessage="1" xr:uid="{25000834-B242-4168-9350-AEB3567E992D}">
          <x14:formula1>
            <xm:f>tab_complexidade!$B$2:$B$1000</xm:f>
          </x14:formula1>
          <xm:sqref>I2:M9</xm:sqref>
        </x14:dataValidation>
        <x14:dataValidation type="list" allowBlank="1" showInputMessage="1" showErrorMessage="1" xr:uid="{3FB4A4F3-83A9-424E-9D58-E79CD17FB374}">
          <x14:formula1>
            <xm:f>tab_recursos!$B$2:$B$1000</xm:f>
          </x14:formula1>
          <xm:sqref>W2:AA9</xm:sqref>
        </x14:dataValidation>
        <x14:dataValidation type="list" allowBlank="1" showInputMessage="1" showErrorMessage="1" xr:uid="{9157B668-23F9-4E08-B47E-B1238F6BC93B}">
          <x14:formula1>
            <xm:f>tab_tipo_projeto!$B$2:$B$1000</xm:f>
          </x14:formula1>
          <xm:sqref>B2:B9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A7F1-9F39-4899-9777-36BBF195114D}">
  <sheetPr codeName="Planilha3"/>
  <dimension ref="A1:G48"/>
  <sheetViews>
    <sheetView showGridLines="0" workbookViewId="0">
      <selection activeCell="B6" sqref="B6"/>
    </sheetView>
  </sheetViews>
  <sheetFormatPr defaultRowHeight="14.4" x14ac:dyDescent="0.3"/>
  <cols>
    <col min="1" max="1" width="15.6640625" style="3" customWidth="1"/>
    <col min="2" max="2" width="50.6640625" customWidth="1"/>
    <col min="3" max="3" width="20.6640625" customWidth="1"/>
    <col min="4" max="7" width="20.6640625" style="3" customWidth="1"/>
  </cols>
  <sheetData>
    <row r="1" spans="1:7" x14ac:dyDescent="0.3">
      <c r="A1" s="3" t="s">
        <v>47</v>
      </c>
      <c r="B1" s="3" t="s">
        <v>45</v>
      </c>
      <c r="C1" s="3" t="s">
        <v>48</v>
      </c>
      <c r="D1" s="3" t="s">
        <v>192</v>
      </c>
      <c r="E1" s="3" t="s">
        <v>49</v>
      </c>
      <c r="F1" s="3" t="s">
        <v>23</v>
      </c>
      <c r="G1" s="3" t="s">
        <v>127</v>
      </c>
    </row>
    <row r="2" spans="1:7" x14ac:dyDescent="0.3">
      <c r="A2" s="4">
        <f t="shared" ref="A2" si="0">+ROW(B2)-1</f>
        <v>1</v>
      </c>
      <c r="B2" t="s">
        <v>54</v>
      </c>
      <c r="C2" t="s">
        <v>50</v>
      </c>
      <c r="D2" s="3" t="s">
        <v>193</v>
      </c>
      <c r="E2" s="3" t="s">
        <v>52</v>
      </c>
      <c r="F2" s="3" t="s">
        <v>35</v>
      </c>
      <c r="G2" s="3" t="e" vm="4">
        <v>#VALUE!</v>
      </c>
    </row>
    <row r="3" spans="1:7" x14ac:dyDescent="0.3">
      <c r="A3" s="4">
        <f t="shared" ref="A3:A12" si="1">+ROW(B3)-1</f>
        <v>2</v>
      </c>
      <c r="B3" t="s">
        <v>316</v>
      </c>
      <c r="C3" t="s">
        <v>51</v>
      </c>
      <c r="D3" s="3" t="s">
        <v>194</v>
      </c>
      <c r="E3" s="3" t="s">
        <v>52</v>
      </c>
      <c r="F3" s="3" t="s">
        <v>35</v>
      </c>
      <c r="G3" s="3" t="e" vm="5">
        <v>#VALUE!</v>
      </c>
    </row>
    <row r="4" spans="1:7" x14ac:dyDescent="0.3">
      <c r="A4" s="5">
        <f t="shared" si="1"/>
        <v>3</v>
      </c>
      <c r="B4" t="s">
        <v>57</v>
      </c>
      <c r="C4" t="s">
        <v>51</v>
      </c>
      <c r="D4" s="3" t="s">
        <v>194</v>
      </c>
      <c r="E4" s="3" t="s">
        <v>52</v>
      </c>
      <c r="F4" s="3" t="s">
        <v>35</v>
      </c>
      <c r="G4" s="3" t="e" vm="6">
        <v>#VALUE!</v>
      </c>
    </row>
    <row r="5" spans="1:7" x14ac:dyDescent="0.3">
      <c r="A5" s="5">
        <f t="shared" si="1"/>
        <v>4</v>
      </c>
      <c r="B5" t="s">
        <v>56</v>
      </c>
      <c r="C5" t="s">
        <v>51</v>
      </c>
      <c r="D5" s="3" t="s">
        <v>195</v>
      </c>
      <c r="E5" s="3" t="s">
        <v>53</v>
      </c>
      <c r="F5" s="3" t="s">
        <v>35</v>
      </c>
      <c r="G5" s="3" t="e" vm="7">
        <v>#VALUE!</v>
      </c>
    </row>
    <row r="6" spans="1:7" x14ac:dyDescent="0.3">
      <c r="A6" s="5">
        <f t="shared" si="1"/>
        <v>5</v>
      </c>
      <c r="B6" t="s">
        <v>96</v>
      </c>
      <c r="C6" t="s">
        <v>50</v>
      </c>
      <c r="D6" s="3" t="s">
        <v>193</v>
      </c>
      <c r="E6" s="3" t="s">
        <v>52</v>
      </c>
      <c r="F6" s="3" t="s">
        <v>37</v>
      </c>
    </row>
    <row r="7" spans="1:7" x14ac:dyDescent="0.3">
      <c r="A7" s="5">
        <f t="shared" si="1"/>
        <v>6</v>
      </c>
      <c r="B7" t="s">
        <v>97</v>
      </c>
      <c r="C7" t="s">
        <v>51</v>
      </c>
      <c r="E7" s="3" t="s">
        <v>52</v>
      </c>
      <c r="F7" s="3" t="s">
        <v>37</v>
      </c>
    </row>
    <row r="8" spans="1:7" x14ac:dyDescent="0.3">
      <c r="A8" s="5">
        <f t="shared" si="1"/>
        <v>7</v>
      </c>
      <c r="B8" t="s">
        <v>77</v>
      </c>
      <c r="C8" t="s">
        <v>50</v>
      </c>
      <c r="E8" s="3" t="s">
        <v>52</v>
      </c>
      <c r="F8" s="3" t="s">
        <v>38</v>
      </c>
    </row>
    <row r="9" spans="1:7" x14ac:dyDescent="0.3">
      <c r="A9" s="5">
        <f t="shared" si="1"/>
        <v>8</v>
      </c>
      <c r="B9" t="s">
        <v>80</v>
      </c>
      <c r="C9" t="s">
        <v>50</v>
      </c>
      <c r="E9" s="3" t="s">
        <v>52</v>
      </c>
      <c r="F9" s="3" t="s">
        <v>38</v>
      </c>
    </row>
    <row r="10" spans="1:7" x14ac:dyDescent="0.3">
      <c r="A10" s="5">
        <f t="shared" si="1"/>
        <v>9</v>
      </c>
      <c r="B10" t="s">
        <v>75</v>
      </c>
      <c r="C10" t="s">
        <v>51</v>
      </c>
      <c r="E10" s="3" t="s">
        <v>52</v>
      </c>
      <c r="F10" s="3" t="s">
        <v>38</v>
      </c>
    </row>
    <row r="11" spans="1:7" x14ac:dyDescent="0.3">
      <c r="A11" s="5">
        <f t="shared" si="1"/>
        <v>10</v>
      </c>
      <c r="B11" t="s">
        <v>76</v>
      </c>
      <c r="C11" t="s">
        <v>51</v>
      </c>
      <c r="E11" s="3" t="s">
        <v>52</v>
      </c>
      <c r="F11" s="3" t="s">
        <v>38</v>
      </c>
    </row>
    <row r="12" spans="1:7" x14ac:dyDescent="0.3">
      <c r="A12" s="5">
        <f t="shared" si="1"/>
        <v>11</v>
      </c>
      <c r="B12" t="s">
        <v>78</v>
      </c>
      <c r="C12" t="s">
        <v>51</v>
      </c>
      <c r="E12" s="3" t="s">
        <v>52</v>
      </c>
      <c r="F12" s="3" t="s">
        <v>38</v>
      </c>
    </row>
    <row r="13" spans="1:7" x14ac:dyDescent="0.3">
      <c r="A13" s="4">
        <f t="shared" ref="A13:A24" si="2">+ROW(B13)-1</f>
        <v>12</v>
      </c>
      <c r="B13" t="s">
        <v>79</v>
      </c>
      <c r="C13" t="s">
        <v>51</v>
      </c>
      <c r="E13" s="3" t="s">
        <v>52</v>
      </c>
      <c r="F13" s="3" t="s">
        <v>38</v>
      </c>
    </row>
    <row r="14" spans="1:7" x14ac:dyDescent="0.3">
      <c r="A14" s="5">
        <f t="shared" si="2"/>
        <v>13</v>
      </c>
      <c r="B14" t="s">
        <v>74</v>
      </c>
      <c r="C14" t="s">
        <v>51</v>
      </c>
      <c r="E14" s="3" t="s">
        <v>52</v>
      </c>
      <c r="F14" s="3" t="s">
        <v>38</v>
      </c>
    </row>
    <row r="15" spans="1:7" x14ac:dyDescent="0.3">
      <c r="A15" s="5">
        <f t="shared" si="2"/>
        <v>14</v>
      </c>
      <c r="B15" t="s">
        <v>91</v>
      </c>
      <c r="C15" t="s">
        <v>50</v>
      </c>
      <c r="E15" s="3" t="s">
        <v>52</v>
      </c>
      <c r="F15" s="3" t="s">
        <v>39</v>
      </c>
    </row>
    <row r="16" spans="1:7" x14ac:dyDescent="0.3">
      <c r="A16" s="5">
        <f t="shared" si="2"/>
        <v>15</v>
      </c>
      <c r="B16" t="s">
        <v>92</v>
      </c>
      <c r="C16" t="s">
        <v>50</v>
      </c>
      <c r="E16" s="3" t="s">
        <v>52</v>
      </c>
      <c r="F16" s="3" t="s">
        <v>39</v>
      </c>
    </row>
    <row r="17" spans="1:6" x14ac:dyDescent="0.3">
      <c r="A17" s="5">
        <f t="shared" si="2"/>
        <v>16</v>
      </c>
      <c r="B17" t="s">
        <v>93</v>
      </c>
      <c r="C17" t="s">
        <v>51</v>
      </c>
      <c r="E17" s="3" t="s">
        <v>53</v>
      </c>
      <c r="F17" s="3" t="s">
        <v>39</v>
      </c>
    </row>
    <row r="18" spans="1:6" x14ac:dyDescent="0.3">
      <c r="A18" s="5">
        <f t="shared" si="2"/>
        <v>17</v>
      </c>
      <c r="B18" t="s">
        <v>94</v>
      </c>
      <c r="C18" t="s">
        <v>51</v>
      </c>
      <c r="E18" s="3" t="s">
        <v>53</v>
      </c>
      <c r="F18" s="3" t="s">
        <v>39</v>
      </c>
    </row>
    <row r="19" spans="1:6" x14ac:dyDescent="0.3">
      <c r="A19" s="5">
        <f t="shared" si="2"/>
        <v>18</v>
      </c>
      <c r="B19" t="s">
        <v>95</v>
      </c>
      <c r="C19" t="s">
        <v>51</v>
      </c>
      <c r="E19" s="3" t="s">
        <v>53</v>
      </c>
      <c r="F19" s="3" t="s">
        <v>39</v>
      </c>
    </row>
    <row r="20" spans="1:6" x14ac:dyDescent="0.3">
      <c r="A20" s="5">
        <f t="shared" si="2"/>
        <v>19</v>
      </c>
      <c r="B20" t="s">
        <v>61</v>
      </c>
      <c r="C20" t="s">
        <v>51</v>
      </c>
      <c r="E20" s="3" t="s">
        <v>52</v>
      </c>
      <c r="F20" s="3" t="s">
        <v>40</v>
      </c>
    </row>
    <row r="21" spans="1:6" x14ac:dyDescent="0.3">
      <c r="A21" s="5">
        <f t="shared" si="2"/>
        <v>20</v>
      </c>
      <c r="B21" t="s">
        <v>59</v>
      </c>
      <c r="C21" t="s">
        <v>51</v>
      </c>
      <c r="E21" s="3" t="s">
        <v>53</v>
      </c>
      <c r="F21" s="3" t="s">
        <v>40</v>
      </c>
    </row>
    <row r="22" spans="1:6" x14ac:dyDescent="0.3">
      <c r="A22" s="5">
        <f t="shared" si="2"/>
        <v>21</v>
      </c>
      <c r="B22" t="s">
        <v>58</v>
      </c>
      <c r="C22" t="s">
        <v>50</v>
      </c>
      <c r="E22" s="3" t="s">
        <v>52</v>
      </c>
      <c r="F22" s="3" t="s">
        <v>41</v>
      </c>
    </row>
    <row r="23" spans="1:6" x14ac:dyDescent="0.3">
      <c r="A23" s="5">
        <f t="shared" si="2"/>
        <v>22</v>
      </c>
      <c r="B23" t="s">
        <v>60</v>
      </c>
      <c r="C23" t="s">
        <v>51</v>
      </c>
      <c r="E23" s="3" t="s">
        <v>52</v>
      </c>
      <c r="F23" s="3" t="s">
        <v>41</v>
      </c>
    </row>
    <row r="24" spans="1:6" x14ac:dyDescent="0.3">
      <c r="A24" s="5">
        <f t="shared" si="2"/>
        <v>23</v>
      </c>
      <c r="B24" t="s">
        <v>69</v>
      </c>
      <c r="C24" t="s">
        <v>51</v>
      </c>
      <c r="E24" s="3" t="s">
        <v>52</v>
      </c>
      <c r="F24" s="3" t="s">
        <v>42</v>
      </c>
    </row>
    <row r="25" spans="1:6" x14ac:dyDescent="0.3">
      <c r="A25" s="4">
        <f t="shared" ref="A25:A39" si="3">+ROW(B25)-1</f>
        <v>24</v>
      </c>
      <c r="B25" t="s">
        <v>72</v>
      </c>
      <c r="C25" t="s">
        <v>51</v>
      </c>
      <c r="E25" s="3" t="s">
        <v>52</v>
      </c>
      <c r="F25" s="3" t="s">
        <v>42</v>
      </c>
    </row>
    <row r="26" spans="1:6" x14ac:dyDescent="0.3">
      <c r="A26" s="5">
        <f t="shared" si="3"/>
        <v>25</v>
      </c>
      <c r="B26" t="s">
        <v>70</v>
      </c>
      <c r="C26" t="s">
        <v>51</v>
      </c>
      <c r="E26" s="3" t="s">
        <v>53</v>
      </c>
      <c r="F26" s="3" t="s">
        <v>42</v>
      </c>
    </row>
    <row r="27" spans="1:6" x14ac:dyDescent="0.3">
      <c r="A27" s="5">
        <f t="shared" si="3"/>
        <v>26</v>
      </c>
      <c r="B27" t="s">
        <v>71</v>
      </c>
      <c r="C27" t="s">
        <v>51</v>
      </c>
      <c r="E27" s="3" t="s">
        <v>53</v>
      </c>
      <c r="F27" s="3" t="s">
        <v>42</v>
      </c>
    </row>
    <row r="28" spans="1:6" x14ac:dyDescent="0.3">
      <c r="A28" s="5">
        <f t="shared" si="3"/>
        <v>27</v>
      </c>
      <c r="B28" t="s">
        <v>73</v>
      </c>
      <c r="C28" t="s">
        <v>51</v>
      </c>
      <c r="E28" s="3" t="s">
        <v>53</v>
      </c>
      <c r="F28" s="3" t="s">
        <v>42</v>
      </c>
    </row>
    <row r="29" spans="1:6" x14ac:dyDescent="0.3">
      <c r="A29" s="5">
        <f t="shared" si="3"/>
        <v>28</v>
      </c>
      <c r="B29" t="s">
        <v>90</v>
      </c>
      <c r="C29" t="s">
        <v>50</v>
      </c>
      <c r="E29" s="3" t="s">
        <v>52</v>
      </c>
      <c r="F29" s="3" t="s">
        <v>43</v>
      </c>
    </row>
    <row r="30" spans="1:6" x14ac:dyDescent="0.3">
      <c r="A30" s="5">
        <f t="shared" si="3"/>
        <v>29</v>
      </c>
      <c r="B30" t="s">
        <v>98</v>
      </c>
      <c r="C30" t="s">
        <v>50</v>
      </c>
      <c r="E30" s="3" t="s">
        <v>52</v>
      </c>
      <c r="F30" s="3" t="s">
        <v>43</v>
      </c>
    </row>
    <row r="31" spans="1:6" x14ac:dyDescent="0.3">
      <c r="A31" s="5">
        <f t="shared" si="3"/>
        <v>30</v>
      </c>
      <c r="B31" t="s">
        <v>81</v>
      </c>
      <c r="C31" t="s">
        <v>51</v>
      </c>
      <c r="E31" s="3" t="s">
        <v>52</v>
      </c>
      <c r="F31" s="3" t="s">
        <v>43</v>
      </c>
    </row>
    <row r="32" spans="1:6" x14ac:dyDescent="0.3">
      <c r="A32" s="5">
        <f t="shared" si="3"/>
        <v>31</v>
      </c>
      <c r="B32" t="s">
        <v>82</v>
      </c>
      <c r="C32" t="s">
        <v>51</v>
      </c>
      <c r="E32" s="3" t="s">
        <v>52</v>
      </c>
      <c r="F32" s="3" t="s">
        <v>43</v>
      </c>
    </row>
    <row r="33" spans="1:6" x14ac:dyDescent="0.3">
      <c r="A33" s="5">
        <f t="shared" si="3"/>
        <v>32</v>
      </c>
      <c r="B33" t="s">
        <v>84</v>
      </c>
      <c r="C33" t="s">
        <v>51</v>
      </c>
      <c r="E33" s="3" t="s">
        <v>52</v>
      </c>
      <c r="F33" s="3" t="s">
        <v>43</v>
      </c>
    </row>
    <row r="34" spans="1:6" x14ac:dyDescent="0.3">
      <c r="A34" s="5">
        <f t="shared" si="3"/>
        <v>33</v>
      </c>
      <c r="B34" t="s">
        <v>85</v>
      </c>
      <c r="C34" t="s">
        <v>51</v>
      </c>
      <c r="E34" s="3" t="s">
        <v>52</v>
      </c>
      <c r="F34" s="3" t="s">
        <v>43</v>
      </c>
    </row>
    <row r="35" spans="1:6" x14ac:dyDescent="0.3">
      <c r="A35" s="4">
        <f>+ROW(B35)-1</f>
        <v>34</v>
      </c>
      <c r="B35" t="s">
        <v>86</v>
      </c>
      <c r="C35" t="s">
        <v>51</v>
      </c>
      <c r="E35" s="3" t="s">
        <v>52</v>
      </c>
      <c r="F35" s="3" t="s">
        <v>43</v>
      </c>
    </row>
    <row r="36" spans="1:6" x14ac:dyDescent="0.3">
      <c r="A36" s="5">
        <f t="shared" si="3"/>
        <v>35</v>
      </c>
      <c r="B36" t="s">
        <v>87</v>
      </c>
      <c r="C36" t="s">
        <v>51</v>
      </c>
      <c r="E36" s="3" t="s">
        <v>52</v>
      </c>
      <c r="F36" s="3" t="s">
        <v>43</v>
      </c>
    </row>
    <row r="37" spans="1:6" x14ac:dyDescent="0.3">
      <c r="A37" s="5">
        <f t="shared" si="3"/>
        <v>36</v>
      </c>
      <c r="B37" t="s">
        <v>89</v>
      </c>
      <c r="C37" t="s">
        <v>51</v>
      </c>
      <c r="E37" s="3" t="s">
        <v>52</v>
      </c>
      <c r="F37" s="3" t="s">
        <v>43</v>
      </c>
    </row>
    <row r="38" spans="1:6" x14ac:dyDescent="0.3">
      <c r="A38" s="5">
        <f t="shared" si="3"/>
        <v>37</v>
      </c>
      <c r="B38" t="s">
        <v>83</v>
      </c>
      <c r="C38" t="s">
        <v>51</v>
      </c>
      <c r="E38" s="3" t="s">
        <v>53</v>
      </c>
      <c r="F38" s="3" t="s">
        <v>43</v>
      </c>
    </row>
    <row r="39" spans="1:6" x14ac:dyDescent="0.3">
      <c r="A39" s="5">
        <f t="shared" si="3"/>
        <v>38</v>
      </c>
      <c r="B39" t="s">
        <v>88</v>
      </c>
      <c r="C39" t="s">
        <v>51</v>
      </c>
      <c r="E39" s="3" t="s">
        <v>53</v>
      </c>
      <c r="F39" s="3" t="s">
        <v>43</v>
      </c>
    </row>
    <row r="40" spans="1:6" x14ac:dyDescent="0.3">
      <c r="A40" s="4">
        <f t="shared" ref="A40:A46" si="4">+ROW(B40)-1</f>
        <v>39</v>
      </c>
      <c r="B40" t="s">
        <v>63</v>
      </c>
      <c r="C40" t="s">
        <v>51</v>
      </c>
      <c r="E40" s="3" t="s">
        <v>52</v>
      </c>
      <c r="F40" s="3" t="s">
        <v>44</v>
      </c>
    </row>
    <row r="41" spans="1:6" x14ac:dyDescent="0.3">
      <c r="A41" s="5">
        <f t="shared" si="4"/>
        <v>40</v>
      </c>
      <c r="B41" t="s">
        <v>65</v>
      </c>
      <c r="C41" t="s">
        <v>51</v>
      </c>
      <c r="E41" s="3" t="s">
        <v>52</v>
      </c>
      <c r="F41" s="3" t="s">
        <v>44</v>
      </c>
    </row>
    <row r="42" spans="1:6" x14ac:dyDescent="0.3">
      <c r="A42" s="5">
        <f t="shared" si="4"/>
        <v>41</v>
      </c>
      <c r="B42" t="s">
        <v>66</v>
      </c>
      <c r="C42" t="s">
        <v>51</v>
      </c>
      <c r="E42" s="3" t="s">
        <v>52</v>
      </c>
      <c r="F42" s="3" t="s">
        <v>44</v>
      </c>
    </row>
    <row r="43" spans="1:6" x14ac:dyDescent="0.3">
      <c r="A43" s="5">
        <f t="shared" si="4"/>
        <v>42</v>
      </c>
      <c r="B43" t="s">
        <v>68</v>
      </c>
      <c r="C43" t="s">
        <v>51</v>
      </c>
      <c r="E43" s="3" t="s">
        <v>52</v>
      </c>
      <c r="F43" s="3" t="s">
        <v>44</v>
      </c>
    </row>
    <row r="44" spans="1:6" x14ac:dyDescent="0.3">
      <c r="A44" s="5">
        <f t="shared" si="4"/>
        <v>43</v>
      </c>
      <c r="B44" t="s">
        <v>62</v>
      </c>
      <c r="C44" t="s">
        <v>51</v>
      </c>
      <c r="E44" s="3" t="s">
        <v>53</v>
      </c>
      <c r="F44" s="3" t="s">
        <v>44</v>
      </c>
    </row>
    <row r="45" spans="1:6" x14ac:dyDescent="0.3">
      <c r="A45" s="5">
        <f t="shared" si="4"/>
        <v>44</v>
      </c>
      <c r="B45" t="s">
        <v>64</v>
      </c>
      <c r="C45" t="s">
        <v>51</v>
      </c>
      <c r="E45" s="3" t="s">
        <v>53</v>
      </c>
      <c r="F45" s="3" t="s">
        <v>44</v>
      </c>
    </row>
    <row r="46" spans="1:6" x14ac:dyDescent="0.3">
      <c r="A46" s="5">
        <f t="shared" si="4"/>
        <v>45</v>
      </c>
      <c r="B46" t="s">
        <v>67</v>
      </c>
      <c r="C46" t="s">
        <v>51</v>
      </c>
      <c r="E46" s="3" t="s">
        <v>53</v>
      </c>
      <c r="F46" s="3" t="s">
        <v>44</v>
      </c>
    </row>
    <row r="47" spans="1:6" x14ac:dyDescent="0.3">
      <c r="A47" s="4">
        <f>+ROW(B47)-1</f>
        <v>46</v>
      </c>
      <c r="B47" t="s">
        <v>275</v>
      </c>
      <c r="C47" t="s">
        <v>51</v>
      </c>
      <c r="D47" s="3" t="s">
        <v>194</v>
      </c>
      <c r="E47" s="3" t="s">
        <v>52</v>
      </c>
      <c r="F47" s="3" t="s">
        <v>35</v>
      </c>
    </row>
    <row r="48" spans="1:6" x14ac:dyDescent="0.3">
      <c r="A48" s="4">
        <f>+ROW(B48)-1</f>
        <v>47</v>
      </c>
      <c r="B48" t="s">
        <v>276</v>
      </c>
      <c r="C48" t="s">
        <v>50</v>
      </c>
      <c r="D48" s="3" t="s">
        <v>193</v>
      </c>
      <c r="E48" s="3" t="s">
        <v>52</v>
      </c>
      <c r="F48" s="3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F3E0546-188E-4534-A9F5-984953EE60B3}">
          <x14:formula1>
            <xm:f>tab_squad!$B$2:$B1025</xm:f>
          </x14:formula1>
          <xm:sqref>F19:F39</xm:sqref>
        </x14:dataValidation>
        <x14:dataValidation type="list" allowBlank="1" showInputMessage="1" showErrorMessage="1" xr:uid="{8A504C76-D0BF-461D-BB82-61DFA55C90D0}">
          <x14:formula1>
            <xm:f>tab_squad!$B$2:$B1047</xm:f>
          </x14:formula1>
          <xm:sqref>F40:F46</xm:sqref>
        </x14:dataValidation>
        <x14:dataValidation type="list" allowBlank="1" showInputMessage="1" showErrorMessage="1" xr:uid="{1F52BBFC-9B2F-416E-8092-1BAA5791EDFE}">
          <x14:formula1>
            <xm:f>tab_squad!$B$2:$B1023</xm:f>
          </x14:formula1>
          <xm:sqref>F18</xm:sqref>
        </x14:dataValidation>
        <x14:dataValidation type="list" allowBlank="1" showInputMessage="1" showErrorMessage="1" xr:uid="{79C70F01-EE87-4C45-9233-FB7EC38F8501}">
          <x14:formula1>
            <xm:f>tab_squad!$B$2:$B1005</xm:f>
          </x14:formula1>
          <xm:sqref>F2:F12 F47</xm:sqref>
        </x14:dataValidation>
        <x14:dataValidation type="list" allowBlank="1" showInputMessage="1" showErrorMessage="1" xr:uid="{C10F070D-9046-4988-87BC-969AA14A2E6F}">
          <x14:formula1>
            <xm:f>tab_squad!$B$2:$B1017</xm:f>
          </x14:formula1>
          <xm:sqref>F13:F17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D0B1-F3CE-4B75-88B9-B11F85915402}">
  <sheetPr codeName="Planilha4"/>
  <dimension ref="A1:F4"/>
  <sheetViews>
    <sheetView showGridLines="0" workbookViewId="0">
      <selection activeCell="H20" sqref="H20"/>
    </sheetView>
  </sheetViews>
  <sheetFormatPr defaultRowHeight="14.4" x14ac:dyDescent="0.3"/>
  <cols>
    <col min="1" max="1" width="15.6640625" style="3" customWidth="1"/>
    <col min="2" max="2" width="50.6640625" customWidth="1"/>
    <col min="3" max="6" width="20.6640625" style="3" customWidth="1"/>
  </cols>
  <sheetData>
    <row r="1" spans="1:6" x14ac:dyDescent="0.3">
      <c r="A1" s="3" t="s">
        <v>181</v>
      </c>
      <c r="B1" s="3" t="s">
        <v>45</v>
      </c>
      <c r="C1" s="3" t="s">
        <v>285</v>
      </c>
      <c r="D1" s="3" t="s">
        <v>286</v>
      </c>
      <c r="E1" s="3" t="s">
        <v>317</v>
      </c>
      <c r="F1" s="3" t="s">
        <v>318</v>
      </c>
    </row>
    <row r="2" spans="1:6" x14ac:dyDescent="0.3">
      <c r="A2" s="4">
        <f>+ROW(B2)-1</f>
        <v>1</v>
      </c>
      <c r="B2" t="s">
        <v>54</v>
      </c>
      <c r="C2" s="61">
        <v>46027</v>
      </c>
      <c r="D2" s="61">
        <v>46052</v>
      </c>
      <c r="E2" s="61" t="s">
        <v>171</v>
      </c>
      <c r="F2" s="61" t="s">
        <v>171</v>
      </c>
    </row>
    <row r="3" spans="1:6" x14ac:dyDescent="0.3">
      <c r="A3" s="4">
        <f>+ROW(B3)-1</f>
        <v>2</v>
      </c>
      <c r="B3" t="s">
        <v>276</v>
      </c>
      <c r="C3" s="61">
        <v>1</v>
      </c>
      <c r="D3" s="61">
        <v>46026</v>
      </c>
      <c r="E3" s="61" t="s">
        <v>319</v>
      </c>
      <c r="F3" s="61" t="s">
        <v>287</v>
      </c>
    </row>
    <row r="4" spans="1:6" x14ac:dyDescent="0.3">
      <c r="A4" s="4">
        <f>+ROW(B4)-1</f>
        <v>3</v>
      </c>
      <c r="B4" t="s">
        <v>276</v>
      </c>
      <c r="C4" s="61">
        <v>46027</v>
      </c>
      <c r="D4" s="61">
        <v>46074</v>
      </c>
      <c r="E4" s="61" t="s">
        <v>319</v>
      </c>
      <c r="F4" s="61" t="s">
        <v>289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CD7FDDE-65B2-4999-AD7D-DE662709814D}">
          <x14:formula1>
            <xm:f>tab_recursos!$B$2:$B$1000</xm:f>
          </x14:formula1>
          <xm:sqref>B2:B4</xm:sqref>
        </x14:dataValidation>
        <x14:dataValidation type="list" allowBlank="1" showInputMessage="1" showErrorMessage="1" xr:uid="{6334E169-15AB-4AE0-BF18-B53D0FF72993}">
          <x14:formula1>
            <xm:f>tab_categoria_ausencia!$B$2:$B$1000</xm:f>
          </x14:formula1>
          <xm:sqref>F2:F4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03CE-AA81-4342-BBC5-04E8DA641A3D}">
  <sheetPr codeName="Planilha5"/>
  <dimension ref="A1:C11"/>
  <sheetViews>
    <sheetView showGridLines="0" workbookViewId="0">
      <selection sqref="A1:C1"/>
    </sheetView>
  </sheetViews>
  <sheetFormatPr defaultRowHeight="14.4" x14ac:dyDescent="0.3"/>
  <cols>
    <col min="1" max="1" width="15.6640625" style="3" customWidth="1"/>
    <col min="2" max="3" width="20.6640625" customWidth="1"/>
  </cols>
  <sheetData>
    <row r="1" spans="1:3" x14ac:dyDescent="0.3">
      <c r="A1" s="3" t="s">
        <v>46</v>
      </c>
      <c r="B1" s="3" t="s">
        <v>23</v>
      </c>
      <c r="C1" s="3" t="s">
        <v>24</v>
      </c>
    </row>
    <row r="2" spans="1:3" x14ac:dyDescent="0.3">
      <c r="A2" s="3">
        <f>+ROW(B2)-1</f>
        <v>1</v>
      </c>
      <c r="B2" t="s">
        <v>35</v>
      </c>
      <c r="C2" t="s">
        <v>25</v>
      </c>
    </row>
    <row r="3" spans="1:3" x14ac:dyDescent="0.3">
      <c r="A3" s="3">
        <f t="shared" ref="A3:A11" si="0">+ROW(B3)-1</f>
        <v>2</v>
      </c>
      <c r="B3" t="s">
        <v>36</v>
      </c>
      <c r="C3" t="s">
        <v>26</v>
      </c>
    </row>
    <row r="4" spans="1:3" x14ac:dyDescent="0.3">
      <c r="A4" s="3">
        <f t="shared" si="0"/>
        <v>3</v>
      </c>
      <c r="B4" t="s">
        <v>37</v>
      </c>
      <c r="C4" t="s">
        <v>27</v>
      </c>
    </row>
    <row r="5" spans="1:3" x14ac:dyDescent="0.3">
      <c r="A5" s="3">
        <f t="shared" si="0"/>
        <v>4</v>
      </c>
      <c r="B5" t="s">
        <v>38</v>
      </c>
      <c r="C5" t="s">
        <v>28</v>
      </c>
    </row>
    <row r="6" spans="1:3" x14ac:dyDescent="0.3">
      <c r="A6" s="3">
        <f t="shared" si="0"/>
        <v>5</v>
      </c>
      <c r="B6" t="s">
        <v>39</v>
      </c>
      <c r="C6" t="s">
        <v>34</v>
      </c>
    </row>
    <row r="7" spans="1:3" x14ac:dyDescent="0.3">
      <c r="A7" s="3">
        <f t="shared" si="0"/>
        <v>6</v>
      </c>
      <c r="B7" t="s">
        <v>40</v>
      </c>
      <c r="C7" t="s">
        <v>29</v>
      </c>
    </row>
    <row r="8" spans="1:3" x14ac:dyDescent="0.3">
      <c r="A8" s="3">
        <f t="shared" si="0"/>
        <v>7</v>
      </c>
      <c r="B8" t="s">
        <v>41</v>
      </c>
      <c r="C8" t="s">
        <v>30</v>
      </c>
    </row>
    <row r="9" spans="1:3" x14ac:dyDescent="0.3">
      <c r="A9" s="3">
        <f t="shared" si="0"/>
        <v>8</v>
      </c>
      <c r="B9" t="s">
        <v>42</v>
      </c>
      <c r="C9" t="s">
        <v>31</v>
      </c>
    </row>
    <row r="10" spans="1:3" x14ac:dyDescent="0.3">
      <c r="A10" s="3">
        <f t="shared" si="0"/>
        <v>9</v>
      </c>
      <c r="B10" t="s">
        <v>43</v>
      </c>
      <c r="C10" t="s">
        <v>32</v>
      </c>
    </row>
    <row r="11" spans="1:3" x14ac:dyDescent="0.3">
      <c r="A11" s="3">
        <f t="shared" si="0"/>
        <v>10</v>
      </c>
      <c r="B11" t="s">
        <v>44</v>
      </c>
      <c r="C11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DABD-2614-4BC3-9062-58A77214A755}">
  <sheetPr codeName="Planilha6"/>
  <dimension ref="A1:B7"/>
  <sheetViews>
    <sheetView showGridLines="0" workbookViewId="0">
      <selection activeCell="B37" sqref="B37"/>
    </sheetView>
  </sheetViews>
  <sheetFormatPr defaultRowHeight="14.4" x14ac:dyDescent="0.3"/>
  <cols>
    <col min="1" max="1" width="15.6640625" style="3" customWidth="1"/>
    <col min="2" max="2" width="30.6640625" customWidth="1"/>
  </cols>
  <sheetData>
    <row r="1" spans="1:2" x14ac:dyDescent="0.3">
      <c r="A1" s="3" t="s">
        <v>106</v>
      </c>
      <c r="B1" s="3" t="s">
        <v>101</v>
      </c>
    </row>
    <row r="2" spans="1:2" x14ac:dyDescent="0.3">
      <c r="A2" s="3">
        <f>+ROW(B2)-1</f>
        <v>1</v>
      </c>
      <c r="B2" t="s">
        <v>107</v>
      </c>
    </row>
    <row r="3" spans="1:2" x14ac:dyDescent="0.3">
      <c r="A3" s="3">
        <f t="shared" ref="A3:A7" si="0">+ROW(B3)-1</f>
        <v>2</v>
      </c>
      <c r="B3" t="s">
        <v>20</v>
      </c>
    </row>
    <row r="4" spans="1:2" x14ac:dyDescent="0.3">
      <c r="A4" s="3">
        <f t="shared" si="0"/>
        <v>3</v>
      </c>
      <c r="B4" t="s">
        <v>108</v>
      </c>
    </row>
    <row r="5" spans="1:2" x14ac:dyDescent="0.3">
      <c r="A5" s="3">
        <f t="shared" si="0"/>
        <v>4</v>
      </c>
      <c r="B5" t="s">
        <v>109</v>
      </c>
    </row>
    <row r="6" spans="1:2" x14ac:dyDescent="0.3">
      <c r="A6" s="3">
        <f t="shared" si="0"/>
        <v>5</v>
      </c>
      <c r="B6" t="s">
        <v>110</v>
      </c>
    </row>
    <row r="7" spans="1:2" x14ac:dyDescent="0.3">
      <c r="A7" s="3">
        <f t="shared" si="0"/>
        <v>6</v>
      </c>
      <c r="B7" t="s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E05F-4DBB-4774-9B6A-1C2519C659B1}">
  <sheetPr codeName="Planilha7"/>
  <dimension ref="A1:B7"/>
  <sheetViews>
    <sheetView showGridLines="0" workbookViewId="0">
      <selection activeCell="B8" sqref="B8"/>
    </sheetView>
  </sheetViews>
  <sheetFormatPr defaultRowHeight="14.4" x14ac:dyDescent="0.3"/>
  <cols>
    <col min="1" max="1" width="15.6640625" style="3" customWidth="1"/>
    <col min="2" max="2" width="30.6640625" customWidth="1"/>
  </cols>
  <sheetData>
    <row r="1" spans="1:2" x14ac:dyDescent="0.3">
      <c r="A1" s="3" t="s">
        <v>111</v>
      </c>
      <c r="B1" s="3" t="s">
        <v>112</v>
      </c>
    </row>
    <row r="2" spans="1:2" x14ac:dyDescent="0.3">
      <c r="A2" s="3">
        <f>+ROW(B2)-1</f>
        <v>1</v>
      </c>
      <c r="B2" t="s">
        <v>19</v>
      </c>
    </row>
    <row r="3" spans="1:2" x14ac:dyDescent="0.3">
      <c r="A3" s="3">
        <f t="shared" ref="A3:A4" si="0">+ROW(B3)-1</f>
        <v>2</v>
      </c>
      <c r="B3" t="s">
        <v>113</v>
      </c>
    </row>
    <row r="4" spans="1:2" x14ac:dyDescent="0.3">
      <c r="A4" s="3">
        <f t="shared" si="0"/>
        <v>3</v>
      </c>
      <c r="B4" t="s">
        <v>114</v>
      </c>
    </row>
    <row r="5" spans="1:2" x14ac:dyDescent="0.3">
      <c r="A5" s="3">
        <f>+ROW(B5)-1</f>
        <v>4</v>
      </c>
      <c r="B5" t="s">
        <v>120</v>
      </c>
    </row>
    <row r="6" spans="1:2" x14ac:dyDescent="0.3">
      <c r="A6" s="3">
        <f>+ROW(B6)-1</f>
        <v>5</v>
      </c>
      <c r="B6" t="s">
        <v>121</v>
      </c>
    </row>
    <row r="7" spans="1:2" x14ac:dyDescent="0.3">
      <c r="A7" s="3">
        <f>+ROW(B7)-1</f>
        <v>6</v>
      </c>
      <c r="B7" t="s">
        <v>122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83EC-E3C3-48D9-9F46-5CEDD925A9FB}">
  <sheetPr codeName="Planilha8"/>
  <dimension ref="A1:B5"/>
  <sheetViews>
    <sheetView showGridLines="0" workbookViewId="0">
      <selection activeCell="B1" sqref="B1:B1048576"/>
    </sheetView>
  </sheetViews>
  <sheetFormatPr defaultRowHeight="14.4" x14ac:dyDescent="0.3"/>
  <cols>
    <col min="1" max="1" width="15.6640625" style="3" customWidth="1"/>
    <col min="2" max="2" width="20.6640625" customWidth="1"/>
  </cols>
  <sheetData>
    <row r="1" spans="1:2" x14ac:dyDescent="0.3">
      <c r="A1" s="3" t="s">
        <v>115</v>
      </c>
      <c r="B1" s="3" t="s">
        <v>100</v>
      </c>
    </row>
    <row r="2" spans="1:2" x14ac:dyDescent="0.3">
      <c r="A2" s="3">
        <f>+ROW(B2)-1</f>
        <v>1</v>
      </c>
      <c r="B2" t="s">
        <v>9</v>
      </c>
    </row>
    <row r="3" spans="1:2" x14ac:dyDescent="0.3">
      <c r="A3" s="3">
        <f t="shared" ref="A3:A4" si="0">+ROW(B3)-1</f>
        <v>2</v>
      </c>
      <c r="B3" t="s">
        <v>8</v>
      </c>
    </row>
    <row r="4" spans="1:2" x14ac:dyDescent="0.3">
      <c r="A4" s="3">
        <f t="shared" si="0"/>
        <v>3</v>
      </c>
      <c r="B4" t="s">
        <v>10</v>
      </c>
    </row>
    <row r="5" spans="1:2" x14ac:dyDescent="0.3">
      <c r="A5" s="3">
        <f>+ROW(B5)-1</f>
        <v>4</v>
      </c>
      <c r="B5" t="s">
        <v>21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BCC5-7E02-4D0A-8C6C-BD2C021D7822}">
  <sheetPr codeName="Planilha9"/>
  <dimension ref="A1:C10"/>
  <sheetViews>
    <sheetView showGridLines="0" workbookViewId="0">
      <selection activeCell="E3" sqref="E3"/>
    </sheetView>
  </sheetViews>
  <sheetFormatPr defaultRowHeight="14.4" x14ac:dyDescent="0.3"/>
  <cols>
    <col min="1" max="1" width="15.6640625" style="3" customWidth="1"/>
    <col min="2" max="2" width="40.6640625" customWidth="1"/>
    <col min="3" max="3" width="15.6640625" style="3" customWidth="1"/>
  </cols>
  <sheetData>
    <row r="1" spans="1:3" x14ac:dyDescent="0.3">
      <c r="A1" s="3" t="s">
        <v>116</v>
      </c>
      <c r="B1" s="3" t="s">
        <v>117</v>
      </c>
      <c r="C1" s="3" t="s">
        <v>118</v>
      </c>
    </row>
    <row r="2" spans="1:3" x14ac:dyDescent="0.3">
      <c r="A2" s="3">
        <f>+ROW(B2)-1</f>
        <v>1</v>
      </c>
      <c r="B2" t="s">
        <v>0</v>
      </c>
      <c r="C2" s="3" t="s">
        <v>16</v>
      </c>
    </row>
    <row r="3" spans="1:3" x14ac:dyDescent="0.3">
      <c r="A3" s="3">
        <f t="shared" ref="A3:A4" si="0">+ROW(B3)-1</f>
        <v>2</v>
      </c>
      <c r="B3" t="s">
        <v>6</v>
      </c>
      <c r="C3" s="3" t="s">
        <v>15</v>
      </c>
    </row>
    <row r="4" spans="1:3" x14ac:dyDescent="0.3">
      <c r="A4" s="3">
        <f t="shared" si="0"/>
        <v>3</v>
      </c>
      <c r="B4" t="s">
        <v>1</v>
      </c>
      <c r="C4" s="3" t="s">
        <v>14</v>
      </c>
    </row>
    <row r="5" spans="1:3" x14ac:dyDescent="0.3">
      <c r="A5" s="3">
        <f>+ROW(B5)-1</f>
        <v>4</v>
      </c>
      <c r="B5" t="s">
        <v>7</v>
      </c>
      <c r="C5" s="3" t="s">
        <v>13</v>
      </c>
    </row>
    <row r="6" spans="1:3" x14ac:dyDescent="0.3">
      <c r="A6" s="3">
        <f t="shared" ref="A6:A10" si="1">+ROW(B6)-1</f>
        <v>5</v>
      </c>
      <c r="B6" t="s">
        <v>3</v>
      </c>
      <c r="C6" s="3" t="s">
        <v>12</v>
      </c>
    </row>
    <row r="7" spans="1:3" x14ac:dyDescent="0.3">
      <c r="A7" s="3">
        <f t="shared" si="1"/>
        <v>6</v>
      </c>
      <c r="B7" t="s">
        <v>4</v>
      </c>
      <c r="C7" s="3" t="s">
        <v>17</v>
      </c>
    </row>
    <row r="8" spans="1:3" x14ac:dyDescent="0.3">
      <c r="A8" s="3">
        <f t="shared" si="1"/>
        <v>7</v>
      </c>
      <c r="B8" t="s">
        <v>2</v>
      </c>
      <c r="C8" s="3" t="s">
        <v>18</v>
      </c>
    </row>
    <row r="9" spans="1:3" x14ac:dyDescent="0.3">
      <c r="A9" s="3">
        <f t="shared" si="1"/>
        <v>8</v>
      </c>
      <c r="B9" t="s">
        <v>11</v>
      </c>
      <c r="C9" s="3" t="s">
        <v>165</v>
      </c>
    </row>
    <row r="10" spans="1:3" x14ac:dyDescent="0.3">
      <c r="A10" s="3">
        <f t="shared" si="1"/>
        <v>9</v>
      </c>
      <c r="B10" t="s">
        <v>5</v>
      </c>
      <c r="C10" s="3" t="s">
        <v>164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0F75-6DB7-4CD9-A524-A63802A854DF}">
  <sheetPr codeName="Planilha10"/>
  <dimension ref="A1:C7"/>
  <sheetViews>
    <sheetView showGridLines="0" workbookViewId="0">
      <selection activeCell="B8" sqref="B8"/>
    </sheetView>
  </sheetViews>
  <sheetFormatPr defaultRowHeight="14.4" x14ac:dyDescent="0.3"/>
  <cols>
    <col min="1" max="1" width="15.6640625" style="3" customWidth="1"/>
    <col min="2" max="3" width="30.6640625" customWidth="1"/>
  </cols>
  <sheetData>
    <row r="1" spans="1:3" x14ac:dyDescent="0.3">
      <c r="A1" s="55" t="s">
        <v>175</v>
      </c>
      <c r="B1" s="3" t="s">
        <v>169</v>
      </c>
      <c r="C1" s="3" t="s">
        <v>176</v>
      </c>
    </row>
    <row r="2" spans="1:3" x14ac:dyDescent="0.3">
      <c r="A2" s="3">
        <f t="shared" ref="A2:A7" si="0">+ROW(B2)-1</f>
        <v>1</v>
      </c>
      <c r="B2" t="s">
        <v>171</v>
      </c>
      <c r="C2" s="3" t="s">
        <v>177</v>
      </c>
    </row>
    <row r="3" spans="1:3" x14ac:dyDescent="0.3">
      <c r="A3" s="3">
        <f t="shared" si="0"/>
        <v>2</v>
      </c>
      <c r="B3" t="s">
        <v>172</v>
      </c>
      <c r="C3" s="3" t="s">
        <v>178</v>
      </c>
    </row>
    <row r="4" spans="1:3" x14ac:dyDescent="0.3">
      <c r="A4" s="3">
        <f t="shared" si="0"/>
        <v>3</v>
      </c>
      <c r="B4" t="s">
        <v>173</v>
      </c>
      <c r="C4" s="3" t="s">
        <v>179</v>
      </c>
    </row>
    <row r="5" spans="1:3" x14ac:dyDescent="0.3">
      <c r="A5" s="3">
        <f t="shared" si="0"/>
        <v>4</v>
      </c>
      <c r="B5" t="s">
        <v>174</v>
      </c>
      <c r="C5" s="3" t="s">
        <v>180</v>
      </c>
    </row>
    <row r="6" spans="1:3" x14ac:dyDescent="0.3">
      <c r="A6" s="3">
        <f t="shared" si="0"/>
        <v>5</v>
      </c>
      <c r="B6" t="s">
        <v>287</v>
      </c>
      <c r="C6" s="3" t="s">
        <v>288</v>
      </c>
    </row>
    <row r="7" spans="1:3" x14ac:dyDescent="0.3">
      <c r="A7" s="3">
        <f t="shared" si="0"/>
        <v>6</v>
      </c>
      <c r="B7" t="s">
        <v>289</v>
      </c>
      <c r="C7" s="3" t="s">
        <v>290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6055-E36F-4A91-B2EC-158391DDC166}">
  <sheetPr codeName="Planilha11"/>
  <dimension ref="A1:B3"/>
  <sheetViews>
    <sheetView showGridLines="0" workbookViewId="0">
      <selection activeCell="B2" sqref="B2"/>
    </sheetView>
  </sheetViews>
  <sheetFormatPr defaultRowHeight="14.4" x14ac:dyDescent="0.3"/>
  <cols>
    <col min="1" max="1" width="15.6640625" style="3" customWidth="1"/>
    <col min="2" max="2" width="100.6640625" style="7" customWidth="1"/>
  </cols>
  <sheetData>
    <row r="1" spans="1:2" x14ac:dyDescent="0.3">
      <c r="A1" s="3" t="s">
        <v>125</v>
      </c>
      <c r="B1" s="6" t="s">
        <v>126</v>
      </c>
    </row>
    <row r="2" spans="1:2" s="1" customFormat="1" ht="43.2" x14ac:dyDescent="0.3">
      <c r="A2" s="2">
        <f>+ROW(B2)-1</f>
        <v>1</v>
      </c>
      <c r="B2" s="8" t="s">
        <v>141</v>
      </c>
    </row>
    <row r="3" spans="1:2" s="1" customFormat="1" ht="57.6" x14ac:dyDescent="0.3">
      <c r="A3" s="2">
        <f>+ROW(B3)-1</f>
        <v>2</v>
      </c>
      <c r="B3" s="8" t="s">
        <v>140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B2BB-45E5-48BB-8B0D-52D6CAE5A9A9}">
  <sheetPr codeName="Planilha20"/>
  <dimension ref="A1:C4"/>
  <sheetViews>
    <sheetView showGridLines="0" workbookViewId="0">
      <selection activeCell="D14" sqref="D14"/>
    </sheetView>
  </sheetViews>
  <sheetFormatPr defaultRowHeight="14.4" x14ac:dyDescent="0.3"/>
  <cols>
    <col min="1" max="1" width="15.6640625" style="3" customWidth="1"/>
    <col min="2" max="2" width="20.33203125" style="7" customWidth="1"/>
    <col min="3" max="3" width="82.33203125" bestFit="1" customWidth="1"/>
  </cols>
  <sheetData>
    <row r="1" spans="1:3" x14ac:dyDescent="0.3">
      <c r="A1" s="3" t="s">
        <v>292</v>
      </c>
      <c r="B1" s="6" t="s">
        <v>291</v>
      </c>
      <c r="C1" s="3" t="s">
        <v>296</v>
      </c>
    </row>
    <row r="2" spans="1:3" s="1" customFormat="1" x14ac:dyDescent="0.3">
      <c r="A2" s="2">
        <f>+ROW(B2)-1</f>
        <v>1</v>
      </c>
      <c r="B2" s="8" t="s">
        <v>293</v>
      </c>
      <c r="C2" s="1" t="s">
        <v>297</v>
      </c>
    </row>
    <row r="3" spans="1:3" s="1" customFormat="1" x14ac:dyDescent="0.3">
      <c r="A3" s="2">
        <f>+ROW(B3)-1</f>
        <v>2</v>
      </c>
      <c r="B3" s="8" t="s">
        <v>294</v>
      </c>
      <c r="C3" s="1" t="s">
        <v>298</v>
      </c>
    </row>
    <row r="4" spans="1:3" x14ac:dyDescent="0.3">
      <c r="A4" s="2">
        <f>+ROW(B4)-1</f>
        <v>3</v>
      </c>
      <c r="B4" s="8" t="s">
        <v>295</v>
      </c>
      <c r="C4" s="1" t="s">
        <v>299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C725-F41E-4948-88D9-94806CC32B33}">
  <dimension ref="A1:BJ24"/>
  <sheetViews>
    <sheetView workbookViewId="0">
      <selection activeCell="B6" sqref="B6:B10"/>
    </sheetView>
  </sheetViews>
  <sheetFormatPr defaultRowHeight="14.4" x14ac:dyDescent="0.3"/>
  <cols>
    <col min="1" max="1" width="9" bestFit="1" customWidth="1"/>
    <col min="2" max="2" width="35.44140625" bestFit="1" customWidth="1"/>
    <col min="3" max="3" width="10.44140625" bestFit="1" customWidth="1"/>
    <col min="4" max="4" width="10.33203125" bestFit="1" customWidth="1"/>
    <col min="5" max="5" width="61.44140625" bestFit="1" customWidth="1"/>
    <col min="6" max="11" width="19.5546875" bestFit="1" customWidth="1"/>
    <col min="12" max="18" width="16.88671875" bestFit="1" customWidth="1"/>
    <col min="19" max="23" width="9.5546875" bestFit="1" customWidth="1"/>
    <col min="24" max="26" width="13.5546875" bestFit="1" customWidth="1"/>
    <col min="27" max="35" width="22.109375" bestFit="1" customWidth="1"/>
    <col min="36" max="37" width="13.5546875" bestFit="1" customWidth="1"/>
    <col min="38" max="47" width="22.109375" bestFit="1" customWidth="1"/>
    <col min="48" max="94" width="13.5546875" bestFit="1" customWidth="1"/>
  </cols>
  <sheetData>
    <row r="1" spans="1:62" x14ac:dyDescent="0.3">
      <c r="A1" t="s">
        <v>300</v>
      </c>
      <c r="B1" t="s">
        <v>170</v>
      </c>
      <c r="C1" t="s">
        <v>196</v>
      </c>
      <c r="D1" t="s">
        <v>182</v>
      </c>
      <c r="E1" t="s">
        <v>183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  <c r="BE1" t="s">
        <v>248</v>
      </c>
      <c r="BF1" t="s">
        <v>249</v>
      </c>
      <c r="BG1" t="s">
        <v>250</v>
      </c>
      <c r="BH1" t="s">
        <v>251</v>
      </c>
      <c r="BI1" t="s">
        <v>252</v>
      </c>
      <c r="BJ1" t="s">
        <v>253</v>
      </c>
    </row>
    <row r="2" spans="1:62" x14ac:dyDescent="0.3">
      <c r="A2" t="s">
        <v>301</v>
      </c>
      <c r="B2" t="s">
        <v>184</v>
      </c>
      <c r="C2" t="s">
        <v>254</v>
      </c>
      <c r="D2">
        <v>1</v>
      </c>
      <c r="E2" t="s">
        <v>302</v>
      </c>
      <c r="F2" t="s">
        <v>16</v>
      </c>
      <c r="G2" t="s">
        <v>15</v>
      </c>
      <c r="H2" t="s">
        <v>15</v>
      </c>
      <c r="I2" t="s">
        <v>15</v>
      </c>
      <c r="J2" t="s">
        <v>14</v>
      </c>
      <c r="K2" t="s">
        <v>13</v>
      </c>
      <c r="L2" t="s">
        <v>303</v>
      </c>
      <c r="M2" t="s">
        <v>303</v>
      </c>
      <c r="N2" t="s">
        <v>303</v>
      </c>
      <c r="O2" t="s">
        <v>303</v>
      </c>
      <c r="P2" t="s">
        <v>12</v>
      </c>
      <c r="Q2" t="s">
        <v>17</v>
      </c>
      <c r="R2" t="s">
        <v>17</v>
      </c>
      <c r="S2" t="s">
        <v>18</v>
      </c>
      <c r="T2" t="s">
        <v>18</v>
      </c>
      <c r="U2" t="s">
        <v>165</v>
      </c>
      <c r="V2" t="s">
        <v>165</v>
      </c>
      <c r="W2" t="s">
        <v>164</v>
      </c>
      <c r="X2" t="s">
        <v>255</v>
      </c>
      <c r="Y2" t="s">
        <v>255</v>
      </c>
      <c r="Z2" t="s">
        <v>255</v>
      </c>
      <c r="AA2" t="s">
        <v>255</v>
      </c>
      <c r="AB2" t="s">
        <v>255</v>
      </c>
      <c r="AC2" t="s">
        <v>255</v>
      </c>
      <c r="AD2" t="s">
        <v>255</v>
      </c>
      <c r="AE2" t="s">
        <v>255</v>
      </c>
      <c r="AF2" t="s">
        <v>255</v>
      </c>
      <c r="AG2" t="s">
        <v>255</v>
      </c>
      <c r="AH2" t="s">
        <v>255</v>
      </c>
      <c r="AI2" t="s">
        <v>255</v>
      </c>
      <c r="AJ2" t="s">
        <v>255</v>
      </c>
      <c r="AK2" t="s">
        <v>255</v>
      </c>
      <c r="AL2" t="s">
        <v>255</v>
      </c>
      <c r="AM2" t="s">
        <v>255</v>
      </c>
      <c r="AN2" t="s">
        <v>255</v>
      </c>
      <c r="AO2" t="s">
        <v>255</v>
      </c>
      <c r="AP2" t="s">
        <v>255</v>
      </c>
      <c r="AQ2" t="s">
        <v>255</v>
      </c>
      <c r="AR2" t="s">
        <v>255</v>
      </c>
      <c r="AS2" t="s">
        <v>255</v>
      </c>
      <c r="AT2" t="s">
        <v>255</v>
      </c>
      <c r="AU2" t="s">
        <v>255</v>
      </c>
      <c r="AV2" t="s">
        <v>255</v>
      </c>
      <c r="AW2" t="s">
        <v>255</v>
      </c>
      <c r="AX2" t="s">
        <v>255</v>
      </c>
      <c r="AY2" t="s">
        <v>255</v>
      </c>
      <c r="AZ2" t="s">
        <v>255</v>
      </c>
      <c r="BA2" t="s">
        <v>255</v>
      </c>
      <c r="BB2" t="s">
        <v>255</v>
      </c>
      <c r="BC2" t="s">
        <v>255</v>
      </c>
      <c r="BD2" t="s">
        <v>255</v>
      </c>
      <c r="BE2" t="s">
        <v>255</v>
      </c>
      <c r="BF2" t="s">
        <v>255</v>
      </c>
      <c r="BG2" t="s">
        <v>255</v>
      </c>
      <c r="BH2" t="s">
        <v>255</v>
      </c>
      <c r="BI2" t="s">
        <v>255</v>
      </c>
      <c r="BJ2" t="s">
        <v>255</v>
      </c>
    </row>
    <row r="3" spans="1:62" x14ac:dyDescent="0.3">
      <c r="A3" t="s">
        <v>301</v>
      </c>
      <c r="B3" t="s">
        <v>184</v>
      </c>
      <c r="C3" t="s">
        <v>254</v>
      </c>
      <c r="D3">
        <v>2</v>
      </c>
      <c r="E3" t="s">
        <v>304</v>
      </c>
      <c r="F3" t="s">
        <v>16</v>
      </c>
      <c r="G3" t="s">
        <v>15</v>
      </c>
      <c r="H3" t="s">
        <v>15</v>
      </c>
      <c r="I3" t="s">
        <v>15</v>
      </c>
      <c r="J3" t="s">
        <v>14</v>
      </c>
      <c r="K3" t="s">
        <v>13</v>
      </c>
      <c r="L3" t="s">
        <v>303</v>
      </c>
      <c r="M3" t="s">
        <v>303</v>
      </c>
      <c r="N3" t="s">
        <v>303</v>
      </c>
      <c r="O3" t="s">
        <v>303</v>
      </c>
      <c r="P3" t="s">
        <v>12</v>
      </c>
      <c r="Q3" t="s">
        <v>17</v>
      </c>
      <c r="R3" t="s">
        <v>17</v>
      </c>
      <c r="S3" t="s">
        <v>18</v>
      </c>
      <c r="T3" t="s">
        <v>18</v>
      </c>
      <c r="U3" t="s">
        <v>165</v>
      </c>
      <c r="V3" t="s">
        <v>165</v>
      </c>
      <c r="W3" t="s">
        <v>164</v>
      </c>
      <c r="X3" t="s">
        <v>255</v>
      </c>
      <c r="Y3" t="s">
        <v>255</v>
      </c>
      <c r="Z3" t="s">
        <v>255</v>
      </c>
      <c r="AA3" t="s">
        <v>255</v>
      </c>
      <c r="AB3" t="s">
        <v>255</v>
      </c>
      <c r="AC3" t="s">
        <v>255</v>
      </c>
      <c r="AD3" t="s">
        <v>255</v>
      </c>
      <c r="AE3" t="s">
        <v>255</v>
      </c>
      <c r="AF3" t="s">
        <v>255</v>
      </c>
      <c r="AG3" t="s">
        <v>255</v>
      </c>
      <c r="AH3" t="s">
        <v>255</v>
      </c>
      <c r="AI3" t="s">
        <v>255</v>
      </c>
      <c r="AJ3" t="s">
        <v>255</v>
      </c>
      <c r="AK3" t="s">
        <v>255</v>
      </c>
      <c r="AL3" t="s">
        <v>255</v>
      </c>
      <c r="AM3" t="s">
        <v>255</v>
      </c>
      <c r="AN3" t="s">
        <v>255</v>
      </c>
      <c r="AO3" t="s">
        <v>255</v>
      </c>
      <c r="AP3" t="s">
        <v>255</v>
      </c>
      <c r="AQ3" t="s">
        <v>255</v>
      </c>
      <c r="AR3" t="s">
        <v>255</v>
      </c>
      <c r="AS3" t="s">
        <v>255</v>
      </c>
      <c r="AT3" t="s">
        <v>255</v>
      </c>
      <c r="AU3" t="s">
        <v>255</v>
      </c>
      <c r="AV3" t="s">
        <v>255</v>
      </c>
      <c r="AW3" t="s">
        <v>255</v>
      </c>
      <c r="AX3" t="s">
        <v>255</v>
      </c>
      <c r="AY3" t="s">
        <v>255</v>
      </c>
      <c r="AZ3" t="s">
        <v>255</v>
      </c>
      <c r="BA3" t="s">
        <v>255</v>
      </c>
      <c r="BB3" t="s">
        <v>255</v>
      </c>
      <c r="BC3" t="s">
        <v>255</v>
      </c>
      <c r="BD3" t="s">
        <v>255</v>
      </c>
      <c r="BE3" t="s">
        <v>255</v>
      </c>
      <c r="BF3" t="s">
        <v>255</v>
      </c>
      <c r="BG3" t="s">
        <v>255</v>
      </c>
      <c r="BH3" t="s">
        <v>255</v>
      </c>
      <c r="BI3" t="s">
        <v>255</v>
      </c>
      <c r="BJ3" t="s">
        <v>255</v>
      </c>
    </row>
    <row r="4" spans="1:62" x14ac:dyDescent="0.3">
      <c r="A4" t="s">
        <v>301</v>
      </c>
      <c r="B4" t="s">
        <v>184</v>
      </c>
      <c r="C4" t="s">
        <v>254</v>
      </c>
      <c r="D4">
        <v>5</v>
      </c>
      <c r="E4" t="s">
        <v>305</v>
      </c>
      <c r="F4" t="s">
        <v>256</v>
      </c>
      <c r="G4" t="s">
        <v>256</v>
      </c>
      <c r="H4" t="s">
        <v>256</v>
      </c>
      <c r="I4" t="s">
        <v>256</v>
      </c>
      <c r="J4" t="s">
        <v>256</v>
      </c>
      <c r="K4" t="s">
        <v>256</v>
      </c>
      <c r="L4" t="s">
        <v>303</v>
      </c>
      <c r="M4" t="s">
        <v>303</v>
      </c>
      <c r="N4" t="s">
        <v>303</v>
      </c>
      <c r="O4" t="s">
        <v>303</v>
      </c>
      <c r="P4" t="s">
        <v>256</v>
      </c>
      <c r="Q4" t="s">
        <v>256</v>
      </c>
      <c r="R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16</v>
      </c>
      <c r="Y4" t="s">
        <v>15</v>
      </c>
      <c r="Z4" t="s">
        <v>15</v>
      </c>
      <c r="AA4" t="s">
        <v>257</v>
      </c>
      <c r="AB4" t="s">
        <v>257</v>
      </c>
      <c r="AC4" t="s">
        <v>257</v>
      </c>
      <c r="AD4" t="s">
        <v>257</v>
      </c>
      <c r="AE4" t="s">
        <v>257</v>
      </c>
      <c r="AF4" t="s">
        <v>257</v>
      </c>
      <c r="AG4" t="s">
        <v>257</v>
      </c>
      <c r="AH4" t="s">
        <v>257</v>
      </c>
      <c r="AI4" t="s">
        <v>257</v>
      </c>
      <c r="AJ4" t="s">
        <v>14</v>
      </c>
      <c r="AK4" t="s">
        <v>13</v>
      </c>
      <c r="AL4" t="s">
        <v>13</v>
      </c>
      <c r="AM4" t="s">
        <v>13</v>
      </c>
      <c r="AN4" t="s">
        <v>13</v>
      </c>
      <c r="AO4" t="s">
        <v>12</v>
      </c>
      <c r="AP4" t="s">
        <v>17</v>
      </c>
      <c r="AQ4" t="s">
        <v>17</v>
      </c>
      <c r="AR4" t="s">
        <v>18</v>
      </c>
      <c r="AS4" t="s">
        <v>18</v>
      </c>
      <c r="AT4" t="s">
        <v>165</v>
      </c>
      <c r="AU4" t="s">
        <v>165</v>
      </c>
      <c r="AV4" t="s">
        <v>164</v>
      </c>
      <c r="AW4" t="s">
        <v>255</v>
      </c>
      <c r="AX4" t="s">
        <v>255</v>
      </c>
      <c r="AY4" t="s">
        <v>255</v>
      </c>
      <c r="AZ4" t="s">
        <v>255</v>
      </c>
      <c r="BA4" t="s">
        <v>255</v>
      </c>
      <c r="BB4" t="s">
        <v>255</v>
      </c>
      <c r="BC4" t="s">
        <v>255</v>
      </c>
      <c r="BD4" t="s">
        <v>255</v>
      </c>
      <c r="BE4" t="s">
        <v>255</v>
      </c>
      <c r="BF4" t="s">
        <v>255</v>
      </c>
      <c r="BG4" t="s">
        <v>255</v>
      </c>
      <c r="BH4" t="s">
        <v>255</v>
      </c>
      <c r="BI4" t="s">
        <v>255</v>
      </c>
      <c r="BJ4" t="s">
        <v>255</v>
      </c>
    </row>
    <row r="5" spans="1:62" x14ac:dyDescent="0.3">
      <c r="A5" t="s">
        <v>301</v>
      </c>
      <c r="B5" t="s">
        <v>184</v>
      </c>
      <c r="C5" t="s">
        <v>254</v>
      </c>
      <c r="D5">
        <v>6</v>
      </c>
      <c r="E5" t="s">
        <v>278</v>
      </c>
      <c r="F5" t="s">
        <v>256</v>
      </c>
      <c r="G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303</v>
      </c>
      <c r="M5" t="s">
        <v>303</v>
      </c>
      <c r="N5" t="s">
        <v>303</v>
      </c>
      <c r="O5" t="s">
        <v>303</v>
      </c>
      <c r="P5" t="s">
        <v>256</v>
      </c>
      <c r="Q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16</v>
      </c>
      <c r="Y5" t="s">
        <v>15</v>
      </c>
      <c r="Z5" t="s">
        <v>15</v>
      </c>
      <c r="AA5" t="s">
        <v>15</v>
      </c>
      <c r="AB5" t="s">
        <v>257</v>
      </c>
      <c r="AC5" t="s">
        <v>257</v>
      </c>
      <c r="AD5" t="s">
        <v>257</v>
      </c>
      <c r="AE5" t="s">
        <v>257</v>
      </c>
      <c r="AF5" t="s">
        <v>257</v>
      </c>
      <c r="AG5" t="s">
        <v>257</v>
      </c>
      <c r="AH5" t="s">
        <v>14</v>
      </c>
      <c r="AI5" t="s">
        <v>14</v>
      </c>
      <c r="AJ5" t="s">
        <v>13</v>
      </c>
      <c r="AK5" t="s">
        <v>13</v>
      </c>
      <c r="AL5" t="s">
        <v>13</v>
      </c>
      <c r="AM5" t="s">
        <v>12</v>
      </c>
      <c r="AN5" t="s">
        <v>12</v>
      </c>
      <c r="AO5" t="s">
        <v>17</v>
      </c>
      <c r="AP5" t="s">
        <v>17</v>
      </c>
      <c r="AQ5" t="s">
        <v>18</v>
      </c>
      <c r="AR5" t="s">
        <v>18</v>
      </c>
      <c r="AS5" t="s">
        <v>18</v>
      </c>
      <c r="AT5" t="s">
        <v>165</v>
      </c>
      <c r="AU5" t="s">
        <v>165</v>
      </c>
      <c r="AV5" t="s">
        <v>164</v>
      </c>
      <c r="AW5" t="s">
        <v>255</v>
      </c>
      <c r="AX5" t="s">
        <v>255</v>
      </c>
      <c r="AY5" t="s">
        <v>255</v>
      </c>
      <c r="AZ5" t="s">
        <v>255</v>
      </c>
      <c r="BA5" t="s">
        <v>255</v>
      </c>
      <c r="BB5" t="s">
        <v>255</v>
      </c>
      <c r="BC5" t="s">
        <v>255</v>
      </c>
      <c r="BD5" t="s">
        <v>255</v>
      </c>
      <c r="BE5" t="s">
        <v>255</v>
      </c>
      <c r="BF5" t="s">
        <v>255</v>
      </c>
      <c r="BG5" t="s">
        <v>255</v>
      </c>
      <c r="BH5" t="s">
        <v>255</v>
      </c>
      <c r="BI5" t="s">
        <v>255</v>
      </c>
      <c r="BJ5" t="s">
        <v>255</v>
      </c>
    </row>
    <row r="6" spans="1:62" x14ac:dyDescent="0.3">
      <c r="A6" t="s">
        <v>301</v>
      </c>
      <c r="B6" t="s">
        <v>306</v>
      </c>
      <c r="C6" t="s">
        <v>258</v>
      </c>
      <c r="D6">
        <v>1</v>
      </c>
      <c r="E6" t="s">
        <v>302</v>
      </c>
      <c r="F6" t="s">
        <v>259</v>
      </c>
      <c r="G6" t="s">
        <v>259</v>
      </c>
      <c r="H6" t="s">
        <v>259</v>
      </c>
      <c r="I6" t="s">
        <v>259</v>
      </c>
      <c r="J6" t="s">
        <v>14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12</v>
      </c>
      <c r="Q6" t="s">
        <v>17</v>
      </c>
      <c r="R6" t="s">
        <v>17</v>
      </c>
      <c r="S6" t="s">
        <v>18</v>
      </c>
      <c r="T6" t="s">
        <v>18</v>
      </c>
      <c r="U6" t="s">
        <v>165</v>
      </c>
      <c r="V6" t="s">
        <v>165</v>
      </c>
      <c r="W6" t="s">
        <v>259</v>
      </c>
      <c r="X6" t="s">
        <v>255</v>
      </c>
      <c r="Y6" t="s">
        <v>255</v>
      </c>
      <c r="Z6" t="s">
        <v>255</v>
      </c>
      <c r="AA6" t="s">
        <v>255</v>
      </c>
      <c r="AB6" t="s">
        <v>255</v>
      </c>
      <c r="AC6" t="s">
        <v>255</v>
      </c>
      <c r="AD6" t="s">
        <v>255</v>
      </c>
      <c r="AE6" t="s">
        <v>255</v>
      </c>
      <c r="AF6" t="s">
        <v>255</v>
      </c>
      <c r="AG6" t="s">
        <v>255</v>
      </c>
      <c r="AH6" t="s">
        <v>255</v>
      </c>
      <c r="AI6" t="s">
        <v>255</v>
      </c>
      <c r="AJ6" t="s">
        <v>255</v>
      </c>
      <c r="AK6" t="s">
        <v>255</v>
      </c>
      <c r="AL6" t="s">
        <v>255</v>
      </c>
      <c r="AM6" t="s">
        <v>255</v>
      </c>
      <c r="AN6" t="s">
        <v>255</v>
      </c>
      <c r="AO6" t="s">
        <v>255</v>
      </c>
      <c r="AP6" t="s">
        <v>255</v>
      </c>
      <c r="AQ6" t="s">
        <v>255</v>
      </c>
      <c r="AR6" t="s">
        <v>255</v>
      </c>
      <c r="AS6" t="s">
        <v>255</v>
      </c>
      <c r="AT6" t="s">
        <v>255</v>
      </c>
      <c r="AU6" t="s">
        <v>255</v>
      </c>
      <c r="AV6" t="s">
        <v>255</v>
      </c>
      <c r="AW6" t="s">
        <v>255</v>
      </c>
      <c r="AX6" t="s">
        <v>255</v>
      </c>
      <c r="AY6" t="s">
        <v>255</v>
      </c>
      <c r="AZ6" t="s">
        <v>255</v>
      </c>
      <c r="BA6" t="s">
        <v>255</v>
      </c>
      <c r="BB6" t="s">
        <v>255</v>
      </c>
      <c r="BC6" t="s">
        <v>255</v>
      </c>
      <c r="BD6" t="s">
        <v>255</v>
      </c>
      <c r="BE6" t="s">
        <v>255</v>
      </c>
      <c r="BF6" t="s">
        <v>255</v>
      </c>
      <c r="BG6" t="s">
        <v>255</v>
      </c>
      <c r="BH6" t="s">
        <v>255</v>
      </c>
      <c r="BI6" t="s">
        <v>255</v>
      </c>
      <c r="BJ6" t="s">
        <v>255</v>
      </c>
    </row>
    <row r="7" spans="1:62" x14ac:dyDescent="0.3">
      <c r="A7" t="s">
        <v>301</v>
      </c>
      <c r="B7" t="s">
        <v>306</v>
      </c>
      <c r="C7" t="s">
        <v>258</v>
      </c>
      <c r="D7">
        <v>3</v>
      </c>
      <c r="E7" t="s">
        <v>307</v>
      </c>
      <c r="F7" t="s">
        <v>259</v>
      </c>
      <c r="G7" t="s">
        <v>259</v>
      </c>
      <c r="H7" t="s">
        <v>259</v>
      </c>
      <c r="I7" t="s">
        <v>259</v>
      </c>
      <c r="J7" t="s">
        <v>259</v>
      </c>
      <c r="K7" t="s">
        <v>259</v>
      </c>
      <c r="L7" t="s">
        <v>259</v>
      </c>
      <c r="M7" t="s">
        <v>259</v>
      </c>
      <c r="N7" t="s">
        <v>259</v>
      </c>
      <c r="O7" t="s">
        <v>259</v>
      </c>
      <c r="P7" t="s">
        <v>259</v>
      </c>
      <c r="Q7" t="s">
        <v>259</v>
      </c>
      <c r="R7" t="s">
        <v>259</v>
      </c>
      <c r="S7" t="s">
        <v>259</v>
      </c>
      <c r="T7" t="s">
        <v>259</v>
      </c>
      <c r="U7" t="s">
        <v>259</v>
      </c>
      <c r="V7" t="s">
        <v>259</v>
      </c>
      <c r="W7" t="s">
        <v>14</v>
      </c>
      <c r="X7" t="s">
        <v>13</v>
      </c>
      <c r="Y7" t="s">
        <v>13</v>
      </c>
      <c r="Z7" t="s">
        <v>13</v>
      </c>
      <c r="AA7" t="s">
        <v>12</v>
      </c>
      <c r="AB7" t="s">
        <v>17</v>
      </c>
      <c r="AC7" t="s">
        <v>17</v>
      </c>
      <c r="AD7" t="s">
        <v>18</v>
      </c>
      <c r="AE7" t="s">
        <v>18</v>
      </c>
      <c r="AF7" t="s">
        <v>165</v>
      </c>
      <c r="AG7" t="s">
        <v>165</v>
      </c>
      <c r="AH7" t="s">
        <v>259</v>
      </c>
      <c r="AI7" t="s">
        <v>255</v>
      </c>
      <c r="AJ7" t="s">
        <v>255</v>
      </c>
      <c r="AK7" t="s">
        <v>255</v>
      </c>
      <c r="AL7" t="s">
        <v>255</v>
      </c>
      <c r="AM7" t="s">
        <v>255</v>
      </c>
      <c r="AN7" t="s">
        <v>255</v>
      </c>
      <c r="AO7" t="s">
        <v>255</v>
      </c>
      <c r="AP7" t="s">
        <v>255</v>
      </c>
      <c r="AQ7" t="s">
        <v>255</v>
      </c>
      <c r="AR7" t="s">
        <v>255</v>
      </c>
      <c r="AS7" t="s">
        <v>255</v>
      </c>
      <c r="AT7" t="s">
        <v>255</v>
      </c>
      <c r="AU7" t="s">
        <v>255</v>
      </c>
      <c r="AV7" t="s">
        <v>255</v>
      </c>
      <c r="AW7" t="s">
        <v>255</v>
      </c>
      <c r="AX7" t="s">
        <v>255</v>
      </c>
      <c r="AY7" t="s">
        <v>255</v>
      </c>
      <c r="AZ7" t="s">
        <v>255</v>
      </c>
      <c r="BA7" t="s">
        <v>255</v>
      </c>
      <c r="BB7" t="s">
        <v>255</v>
      </c>
      <c r="BC7" t="s">
        <v>255</v>
      </c>
      <c r="BD7" t="s">
        <v>255</v>
      </c>
      <c r="BE7" t="s">
        <v>255</v>
      </c>
      <c r="BF7" t="s">
        <v>255</v>
      </c>
      <c r="BG7" t="s">
        <v>255</v>
      </c>
      <c r="BH7" t="s">
        <v>255</v>
      </c>
      <c r="BI7" t="s">
        <v>255</v>
      </c>
      <c r="BJ7" t="s">
        <v>255</v>
      </c>
    </row>
    <row r="8" spans="1:62" x14ac:dyDescent="0.3">
      <c r="A8" t="s">
        <v>301</v>
      </c>
      <c r="B8" t="s">
        <v>306</v>
      </c>
      <c r="C8" t="s">
        <v>258</v>
      </c>
      <c r="D8">
        <v>6</v>
      </c>
      <c r="E8" t="s">
        <v>278</v>
      </c>
      <c r="F8" t="s">
        <v>259</v>
      </c>
      <c r="G8" t="s">
        <v>259</v>
      </c>
      <c r="H8" t="s">
        <v>259</v>
      </c>
      <c r="I8" t="s">
        <v>259</v>
      </c>
      <c r="J8" t="s">
        <v>259</v>
      </c>
      <c r="K8" t="s">
        <v>259</v>
      </c>
      <c r="L8" t="s">
        <v>259</v>
      </c>
      <c r="M8" t="s">
        <v>259</v>
      </c>
      <c r="N8" t="s">
        <v>259</v>
      </c>
      <c r="O8" t="s">
        <v>259</v>
      </c>
      <c r="P8" t="s">
        <v>259</v>
      </c>
      <c r="Q8" t="s">
        <v>259</v>
      </c>
      <c r="R8" t="s">
        <v>259</v>
      </c>
      <c r="S8" t="s">
        <v>259</v>
      </c>
      <c r="T8" t="s">
        <v>259</v>
      </c>
      <c r="U8" t="s">
        <v>259</v>
      </c>
      <c r="V8" t="s">
        <v>259</v>
      </c>
      <c r="W8" t="s">
        <v>259</v>
      </c>
      <c r="X8" t="s">
        <v>259</v>
      </c>
      <c r="Y8" t="s">
        <v>259</v>
      </c>
      <c r="Z8" t="s">
        <v>259</v>
      </c>
      <c r="AA8" t="s">
        <v>259</v>
      </c>
      <c r="AB8" t="s">
        <v>260</v>
      </c>
      <c r="AC8" t="s">
        <v>260</v>
      </c>
      <c r="AD8" t="s">
        <v>260</v>
      </c>
      <c r="AE8" t="s">
        <v>260</v>
      </c>
      <c r="AF8" t="s">
        <v>260</v>
      </c>
      <c r="AG8" t="s">
        <v>260</v>
      </c>
      <c r="AH8" t="s">
        <v>14</v>
      </c>
      <c r="AI8" t="s">
        <v>14</v>
      </c>
      <c r="AJ8" t="s">
        <v>13</v>
      </c>
      <c r="AK8" t="s">
        <v>13</v>
      </c>
      <c r="AL8" t="s">
        <v>13</v>
      </c>
      <c r="AM8" t="s">
        <v>12</v>
      </c>
      <c r="AN8" t="s">
        <v>12</v>
      </c>
      <c r="AO8" t="s">
        <v>17</v>
      </c>
      <c r="AP8" t="s">
        <v>17</v>
      </c>
      <c r="AQ8" t="s">
        <v>18</v>
      </c>
      <c r="AR8" t="s">
        <v>18</v>
      </c>
      <c r="AS8" t="s">
        <v>18</v>
      </c>
      <c r="AT8" t="s">
        <v>165</v>
      </c>
      <c r="AU8" t="s">
        <v>165</v>
      </c>
      <c r="AV8" t="s">
        <v>259</v>
      </c>
      <c r="AW8" t="s">
        <v>255</v>
      </c>
      <c r="AX8" t="s">
        <v>255</v>
      </c>
      <c r="AY8" t="s">
        <v>255</v>
      </c>
      <c r="AZ8" t="s">
        <v>255</v>
      </c>
      <c r="BA8" t="s">
        <v>255</v>
      </c>
      <c r="BB8" t="s">
        <v>255</v>
      </c>
      <c r="BC8" t="s">
        <v>255</v>
      </c>
      <c r="BD8" t="s">
        <v>255</v>
      </c>
      <c r="BE8" t="s">
        <v>255</v>
      </c>
      <c r="BF8" t="s">
        <v>255</v>
      </c>
      <c r="BG8" t="s">
        <v>255</v>
      </c>
      <c r="BH8" t="s">
        <v>255</v>
      </c>
      <c r="BI8" t="s">
        <v>255</v>
      </c>
      <c r="BJ8" t="s">
        <v>255</v>
      </c>
    </row>
    <row r="9" spans="1:62" x14ac:dyDescent="0.3">
      <c r="A9" t="s">
        <v>301</v>
      </c>
      <c r="B9" t="s">
        <v>306</v>
      </c>
      <c r="C9" t="s">
        <v>258</v>
      </c>
      <c r="D9">
        <v>8</v>
      </c>
      <c r="E9" t="s">
        <v>280</v>
      </c>
      <c r="F9" t="s">
        <v>259</v>
      </c>
      <c r="G9" t="s">
        <v>259</v>
      </c>
      <c r="H9" t="s">
        <v>259</v>
      </c>
      <c r="I9" t="s">
        <v>259</v>
      </c>
      <c r="J9" t="s">
        <v>259</v>
      </c>
      <c r="K9" t="s">
        <v>259</v>
      </c>
      <c r="L9" t="s">
        <v>259</v>
      </c>
      <c r="M9" t="s">
        <v>259</v>
      </c>
      <c r="N9" t="s">
        <v>259</v>
      </c>
      <c r="O9" t="s">
        <v>259</v>
      </c>
      <c r="P9" t="s">
        <v>259</v>
      </c>
      <c r="Q9" t="s">
        <v>259</v>
      </c>
      <c r="R9" t="s">
        <v>259</v>
      </c>
      <c r="S9" t="s">
        <v>259</v>
      </c>
      <c r="T9" t="s">
        <v>259</v>
      </c>
      <c r="U9" t="s">
        <v>259</v>
      </c>
      <c r="V9" t="s">
        <v>259</v>
      </c>
      <c r="W9" t="s">
        <v>259</v>
      </c>
      <c r="X9" t="s">
        <v>259</v>
      </c>
      <c r="Y9" t="s">
        <v>259</v>
      </c>
      <c r="Z9" t="s">
        <v>259</v>
      </c>
      <c r="AA9" t="s">
        <v>259</v>
      </c>
      <c r="AB9" t="s">
        <v>259</v>
      </c>
      <c r="AC9" t="s">
        <v>259</v>
      </c>
      <c r="AD9" t="s">
        <v>259</v>
      </c>
      <c r="AE9" t="s">
        <v>259</v>
      </c>
      <c r="AF9" t="s">
        <v>259</v>
      </c>
      <c r="AG9" t="s">
        <v>259</v>
      </c>
      <c r="AH9" t="s">
        <v>259</v>
      </c>
      <c r="AI9" t="s">
        <v>259</v>
      </c>
      <c r="AJ9" t="s">
        <v>259</v>
      </c>
      <c r="AK9" t="s">
        <v>259</v>
      </c>
      <c r="AL9" t="s">
        <v>259</v>
      </c>
      <c r="AM9" t="s">
        <v>259</v>
      </c>
      <c r="AN9" t="s">
        <v>259</v>
      </c>
      <c r="AO9" t="s">
        <v>260</v>
      </c>
      <c r="AP9" t="s">
        <v>260</v>
      </c>
      <c r="AQ9" t="s">
        <v>260</v>
      </c>
      <c r="AR9" t="s">
        <v>260</v>
      </c>
      <c r="AS9" t="s">
        <v>260</v>
      </c>
      <c r="AT9" t="s">
        <v>260</v>
      </c>
      <c r="AU9" t="s">
        <v>260</v>
      </c>
      <c r="AV9" t="s">
        <v>14</v>
      </c>
      <c r="AW9" t="s">
        <v>14</v>
      </c>
      <c r="AX9" t="s">
        <v>13</v>
      </c>
      <c r="AY9" t="s">
        <v>13</v>
      </c>
      <c r="AZ9" t="s">
        <v>13</v>
      </c>
      <c r="BA9" t="s">
        <v>13</v>
      </c>
      <c r="BB9" t="s">
        <v>12</v>
      </c>
      <c r="BC9" t="s">
        <v>12</v>
      </c>
      <c r="BD9" t="s">
        <v>17</v>
      </c>
      <c r="BE9" t="s">
        <v>17</v>
      </c>
      <c r="BF9" t="s">
        <v>18</v>
      </c>
      <c r="BG9" t="s">
        <v>18</v>
      </c>
      <c r="BH9" t="s">
        <v>165</v>
      </c>
      <c r="BI9" t="s">
        <v>165</v>
      </c>
      <c r="BJ9" t="s">
        <v>259</v>
      </c>
    </row>
    <row r="10" spans="1:62" x14ac:dyDescent="0.3">
      <c r="A10" t="s">
        <v>301</v>
      </c>
      <c r="B10" t="s">
        <v>190</v>
      </c>
      <c r="C10" t="s">
        <v>261</v>
      </c>
      <c r="D10">
        <v>1</v>
      </c>
      <c r="E10" t="s">
        <v>302</v>
      </c>
      <c r="F10" t="s">
        <v>259</v>
      </c>
      <c r="G10" t="s">
        <v>259</v>
      </c>
      <c r="H10" t="s">
        <v>259</v>
      </c>
      <c r="I10" t="s">
        <v>259</v>
      </c>
      <c r="J10" t="s">
        <v>14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12</v>
      </c>
      <c r="Q10" t="s">
        <v>17</v>
      </c>
      <c r="R10" t="s">
        <v>17</v>
      </c>
      <c r="S10" t="s">
        <v>18</v>
      </c>
      <c r="T10" t="s">
        <v>18</v>
      </c>
      <c r="U10" t="s">
        <v>165</v>
      </c>
      <c r="V10" t="s">
        <v>165</v>
      </c>
      <c r="W10" t="s">
        <v>259</v>
      </c>
      <c r="X10" t="s">
        <v>255</v>
      </c>
      <c r="Y10" t="s">
        <v>255</v>
      </c>
      <c r="Z10" t="s">
        <v>255</v>
      </c>
      <c r="AA10" t="s">
        <v>255</v>
      </c>
      <c r="AB10" t="s">
        <v>255</v>
      </c>
      <c r="AC10" t="s">
        <v>255</v>
      </c>
      <c r="AD10" t="s">
        <v>255</v>
      </c>
      <c r="AE10" t="s">
        <v>255</v>
      </c>
      <c r="AF10" t="s">
        <v>255</v>
      </c>
      <c r="AG10" t="s">
        <v>255</v>
      </c>
      <c r="AH10" t="s">
        <v>255</v>
      </c>
      <c r="AI10" t="s">
        <v>255</v>
      </c>
      <c r="AJ10" t="s">
        <v>255</v>
      </c>
      <c r="AK10" t="s">
        <v>255</v>
      </c>
      <c r="AL10" t="s">
        <v>255</v>
      </c>
      <c r="AM10" t="s">
        <v>255</v>
      </c>
      <c r="AN10" t="s">
        <v>255</v>
      </c>
      <c r="AO10" t="s">
        <v>255</v>
      </c>
      <c r="AP10" t="s">
        <v>255</v>
      </c>
      <c r="AQ10" t="s">
        <v>255</v>
      </c>
      <c r="AR10" t="s">
        <v>255</v>
      </c>
      <c r="AS10" t="s">
        <v>255</v>
      </c>
      <c r="AT10" t="s">
        <v>255</v>
      </c>
      <c r="AU10" t="s">
        <v>255</v>
      </c>
      <c r="AV10" t="s">
        <v>255</v>
      </c>
      <c r="AW10" t="s">
        <v>255</v>
      </c>
      <c r="AX10" t="s">
        <v>255</v>
      </c>
      <c r="AY10" t="s">
        <v>255</v>
      </c>
      <c r="AZ10" t="s">
        <v>255</v>
      </c>
      <c r="BA10" t="s">
        <v>255</v>
      </c>
      <c r="BB10" t="s">
        <v>255</v>
      </c>
      <c r="BC10" t="s">
        <v>255</v>
      </c>
      <c r="BD10" t="s">
        <v>255</v>
      </c>
      <c r="BE10" t="s">
        <v>255</v>
      </c>
      <c r="BF10" t="s">
        <v>255</v>
      </c>
      <c r="BG10" t="s">
        <v>255</v>
      </c>
      <c r="BH10" t="s">
        <v>255</v>
      </c>
      <c r="BI10" t="s">
        <v>255</v>
      </c>
      <c r="BJ10" t="s">
        <v>255</v>
      </c>
    </row>
    <row r="11" spans="1:62" x14ac:dyDescent="0.3">
      <c r="A11" t="s">
        <v>301</v>
      </c>
      <c r="B11" t="s">
        <v>190</v>
      </c>
      <c r="C11" t="s">
        <v>261</v>
      </c>
      <c r="D11">
        <v>2</v>
      </c>
      <c r="E11" t="s">
        <v>304</v>
      </c>
      <c r="F11" t="s">
        <v>259</v>
      </c>
      <c r="G11" t="s">
        <v>259</v>
      </c>
      <c r="H11" t="s">
        <v>259</v>
      </c>
      <c r="I11" t="s">
        <v>259</v>
      </c>
      <c r="J11" t="s">
        <v>14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12</v>
      </c>
      <c r="Q11" t="s">
        <v>17</v>
      </c>
      <c r="R11" t="s">
        <v>17</v>
      </c>
      <c r="S11" t="s">
        <v>18</v>
      </c>
      <c r="T11" t="s">
        <v>18</v>
      </c>
      <c r="U11" t="s">
        <v>165</v>
      </c>
      <c r="V11" t="s">
        <v>165</v>
      </c>
      <c r="W11" t="s">
        <v>259</v>
      </c>
      <c r="X11" t="s">
        <v>255</v>
      </c>
      <c r="Y11" t="s">
        <v>255</v>
      </c>
      <c r="Z11" t="s">
        <v>255</v>
      </c>
      <c r="AA11" t="s">
        <v>255</v>
      </c>
      <c r="AB11" t="s">
        <v>255</v>
      </c>
      <c r="AC11" t="s">
        <v>255</v>
      </c>
      <c r="AD11" t="s">
        <v>255</v>
      </c>
      <c r="AE11" t="s">
        <v>255</v>
      </c>
      <c r="AF11" t="s">
        <v>255</v>
      </c>
      <c r="AG11" t="s">
        <v>255</v>
      </c>
      <c r="AH11" t="s">
        <v>255</v>
      </c>
      <c r="AI11" t="s">
        <v>255</v>
      </c>
      <c r="AJ11" t="s">
        <v>255</v>
      </c>
      <c r="AK11" t="s">
        <v>255</v>
      </c>
      <c r="AL11" t="s">
        <v>255</v>
      </c>
      <c r="AM11" t="s">
        <v>255</v>
      </c>
      <c r="AN11" t="s">
        <v>255</v>
      </c>
      <c r="AO11" t="s">
        <v>255</v>
      </c>
      <c r="AP11" t="s">
        <v>255</v>
      </c>
      <c r="AQ11" t="s">
        <v>255</v>
      </c>
      <c r="AR11" t="s">
        <v>255</v>
      </c>
      <c r="AS11" t="s">
        <v>255</v>
      </c>
      <c r="AT11" t="s">
        <v>255</v>
      </c>
      <c r="AU11" t="s">
        <v>255</v>
      </c>
      <c r="AV11" t="s">
        <v>255</v>
      </c>
      <c r="AW11" t="s">
        <v>255</v>
      </c>
      <c r="AX11" t="s">
        <v>255</v>
      </c>
      <c r="AY11" t="s">
        <v>255</v>
      </c>
      <c r="AZ11" t="s">
        <v>255</v>
      </c>
      <c r="BA11" t="s">
        <v>255</v>
      </c>
      <c r="BB11" t="s">
        <v>255</v>
      </c>
      <c r="BC11" t="s">
        <v>255</v>
      </c>
      <c r="BD11" t="s">
        <v>255</v>
      </c>
      <c r="BE11" t="s">
        <v>255</v>
      </c>
      <c r="BF11" t="s">
        <v>255</v>
      </c>
      <c r="BG11" t="s">
        <v>255</v>
      </c>
      <c r="BH11" t="s">
        <v>255</v>
      </c>
      <c r="BI11" t="s">
        <v>255</v>
      </c>
      <c r="BJ11" t="s">
        <v>255</v>
      </c>
    </row>
    <row r="12" spans="1:62" x14ac:dyDescent="0.3">
      <c r="A12" t="s">
        <v>301</v>
      </c>
      <c r="B12" t="s">
        <v>190</v>
      </c>
      <c r="C12" t="s">
        <v>261</v>
      </c>
      <c r="D12">
        <v>3</v>
      </c>
      <c r="E12" t="s">
        <v>307</v>
      </c>
      <c r="F12" t="s">
        <v>259</v>
      </c>
      <c r="G12" t="s">
        <v>259</v>
      </c>
      <c r="H12" t="s">
        <v>259</v>
      </c>
      <c r="I12" t="s">
        <v>259</v>
      </c>
      <c r="J12" t="s">
        <v>259</v>
      </c>
      <c r="K12" t="s">
        <v>259</v>
      </c>
      <c r="L12" t="s">
        <v>259</v>
      </c>
      <c r="M12" t="s">
        <v>259</v>
      </c>
      <c r="N12" t="s">
        <v>259</v>
      </c>
      <c r="O12" t="s">
        <v>259</v>
      </c>
      <c r="P12" t="s">
        <v>259</v>
      </c>
      <c r="Q12" t="s">
        <v>259</v>
      </c>
      <c r="R12" t="s">
        <v>259</v>
      </c>
      <c r="S12" t="s">
        <v>259</v>
      </c>
      <c r="T12" t="s">
        <v>259</v>
      </c>
      <c r="U12" t="s">
        <v>259</v>
      </c>
      <c r="V12" t="s">
        <v>259</v>
      </c>
      <c r="W12" t="s">
        <v>14</v>
      </c>
      <c r="X12" t="s">
        <v>13</v>
      </c>
      <c r="Y12" t="s">
        <v>13</v>
      </c>
      <c r="Z12" t="s">
        <v>13</v>
      </c>
      <c r="AA12" t="s">
        <v>12</v>
      </c>
      <c r="AB12" t="s">
        <v>17</v>
      </c>
      <c r="AC12" t="s">
        <v>17</v>
      </c>
      <c r="AD12" t="s">
        <v>18</v>
      </c>
      <c r="AE12" t="s">
        <v>18</v>
      </c>
      <c r="AF12" t="s">
        <v>165</v>
      </c>
      <c r="AG12" t="s">
        <v>165</v>
      </c>
      <c r="AH12" t="s">
        <v>259</v>
      </c>
      <c r="AI12" t="s">
        <v>255</v>
      </c>
      <c r="AJ12" t="s">
        <v>255</v>
      </c>
      <c r="AK12" t="s">
        <v>255</v>
      </c>
      <c r="AL12" t="s">
        <v>255</v>
      </c>
      <c r="AM12" t="s">
        <v>255</v>
      </c>
      <c r="AN12" t="s">
        <v>255</v>
      </c>
      <c r="AO12" t="s">
        <v>255</v>
      </c>
      <c r="AP12" t="s">
        <v>255</v>
      </c>
      <c r="AQ12" t="s">
        <v>255</v>
      </c>
      <c r="AR12" t="s">
        <v>255</v>
      </c>
      <c r="AS12" t="s">
        <v>255</v>
      </c>
      <c r="AT12" t="s">
        <v>255</v>
      </c>
      <c r="AU12" t="s">
        <v>255</v>
      </c>
      <c r="AV12" t="s">
        <v>255</v>
      </c>
      <c r="AW12" t="s">
        <v>255</v>
      </c>
      <c r="AX12" t="s">
        <v>255</v>
      </c>
      <c r="AY12" t="s">
        <v>255</v>
      </c>
      <c r="AZ12" t="s">
        <v>255</v>
      </c>
      <c r="BA12" t="s">
        <v>255</v>
      </c>
      <c r="BB12" t="s">
        <v>255</v>
      </c>
      <c r="BC12" t="s">
        <v>255</v>
      </c>
      <c r="BD12" t="s">
        <v>255</v>
      </c>
      <c r="BE12" t="s">
        <v>255</v>
      </c>
      <c r="BF12" t="s">
        <v>255</v>
      </c>
      <c r="BG12" t="s">
        <v>255</v>
      </c>
      <c r="BH12" t="s">
        <v>255</v>
      </c>
      <c r="BI12" t="s">
        <v>255</v>
      </c>
      <c r="BJ12" t="s">
        <v>255</v>
      </c>
    </row>
    <row r="13" spans="1:62" x14ac:dyDescent="0.3">
      <c r="A13" t="s">
        <v>301</v>
      </c>
      <c r="B13" t="s">
        <v>190</v>
      </c>
      <c r="C13" t="s">
        <v>261</v>
      </c>
      <c r="D13">
        <v>4</v>
      </c>
      <c r="E13" t="s">
        <v>189</v>
      </c>
      <c r="F13" t="s">
        <v>259</v>
      </c>
      <c r="G13" t="s">
        <v>259</v>
      </c>
      <c r="H13" t="s">
        <v>259</v>
      </c>
      <c r="I13" t="s">
        <v>259</v>
      </c>
      <c r="J13" t="s">
        <v>259</v>
      </c>
      <c r="K13" t="s">
        <v>259</v>
      </c>
      <c r="L13" t="s">
        <v>259</v>
      </c>
      <c r="M13" t="s">
        <v>259</v>
      </c>
      <c r="N13" t="s">
        <v>259</v>
      </c>
      <c r="O13" t="s">
        <v>259</v>
      </c>
      <c r="P13" t="s">
        <v>259</v>
      </c>
      <c r="Q13" t="s">
        <v>259</v>
      </c>
      <c r="R13" t="s">
        <v>259</v>
      </c>
      <c r="S13" t="s">
        <v>259</v>
      </c>
      <c r="T13" t="s">
        <v>259</v>
      </c>
      <c r="U13" t="s">
        <v>259</v>
      </c>
      <c r="V13" t="s">
        <v>259</v>
      </c>
      <c r="W13" t="s">
        <v>14</v>
      </c>
      <c r="X13" t="s">
        <v>14</v>
      </c>
      <c r="Y13" t="s">
        <v>13</v>
      </c>
      <c r="Z13" t="s">
        <v>13</v>
      </c>
      <c r="AA13" t="s">
        <v>13</v>
      </c>
      <c r="AB13" t="s">
        <v>13</v>
      </c>
      <c r="AC13" t="s">
        <v>12</v>
      </c>
      <c r="AD13" t="s">
        <v>17</v>
      </c>
      <c r="AE13" t="s">
        <v>17</v>
      </c>
      <c r="AF13" t="s">
        <v>18</v>
      </c>
      <c r="AG13" t="s">
        <v>18</v>
      </c>
      <c r="AH13" t="s">
        <v>165</v>
      </c>
      <c r="AI13" t="s">
        <v>165</v>
      </c>
      <c r="AJ13" t="s">
        <v>259</v>
      </c>
      <c r="AK13" t="s">
        <v>255</v>
      </c>
      <c r="AL13" t="s">
        <v>255</v>
      </c>
      <c r="AM13" t="s">
        <v>255</v>
      </c>
      <c r="AN13" t="s">
        <v>255</v>
      </c>
      <c r="AO13" t="s">
        <v>255</v>
      </c>
      <c r="AP13" t="s">
        <v>255</v>
      </c>
      <c r="AQ13" t="s">
        <v>255</v>
      </c>
      <c r="AR13" t="s">
        <v>255</v>
      </c>
      <c r="AS13" t="s">
        <v>255</v>
      </c>
      <c r="AT13" t="s">
        <v>255</v>
      </c>
      <c r="AU13" t="s">
        <v>255</v>
      </c>
      <c r="AV13" t="s">
        <v>255</v>
      </c>
      <c r="AW13" t="s">
        <v>255</v>
      </c>
      <c r="AX13" t="s">
        <v>255</v>
      </c>
      <c r="AY13" t="s">
        <v>255</v>
      </c>
      <c r="AZ13" t="s">
        <v>255</v>
      </c>
      <c r="BA13" t="s">
        <v>255</v>
      </c>
      <c r="BB13" t="s">
        <v>255</v>
      </c>
      <c r="BC13" t="s">
        <v>255</v>
      </c>
      <c r="BD13" t="s">
        <v>255</v>
      </c>
      <c r="BE13" t="s">
        <v>255</v>
      </c>
      <c r="BF13" t="s">
        <v>255</v>
      </c>
      <c r="BG13" t="s">
        <v>255</v>
      </c>
      <c r="BH13" t="s">
        <v>255</v>
      </c>
      <c r="BI13" t="s">
        <v>255</v>
      </c>
      <c r="BJ13" t="s">
        <v>255</v>
      </c>
    </row>
    <row r="14" spans="1:62" x14ac:dyDescent="0.3">
      <c r="A14" t="s">
        <v>301</v>
      </c>
      <c r="B14" t="s">
        <v>190</v>
      </c>
      <c r="C14" t="s">
        <v>261</v>
      </c>
      <c r="D14">
        <v>5</v>
      </c>
      <c r="E14" t="s">
        <v>305</v>
      </c>
      <c r="F14" t="s">
        <v>259</v>
      </c>
      <c r="G14" t="s">
        <v>259</v>
      </c>
      <c r="H14" t="s">
        <v>259</v>
      </c>
      <c r="I14" t="s">
        <v>259</v>
      </c>
      <c r="J14" t="s">
        <v>259</v>
      </c>
      <c r="K14" t="s">
        <v>259</v>
      </c>
      <c r="L14" t="s">
        <v>259</v>
      </c>
      <c r="M14" t="s">
        <v>259</v>
      </c>
      <c r="N14" t="s">
        <v>259</v>
      </c>
      <c r="O14" t="s">
        <v>259</v>
      </c>
      <c r="P14" t="s">
        <v>259</v>
      </c>
      <c r="Q14" t="s">
        <v>259</v>
      </c>
      <c r="R14" t="s">
        <v>259</v>
      </c>
      <c r="S14" t="s">
        <v>259</v>
      </c>
      <c r="T14" t="s">
        <v>259</v>
      </c>
      <c r="U14" t="s">
        <v>259</v>
      </c>
      <c r="V14" t="s">
        <v>259</v>
      </c>
      <c r="W14" t="s">
        <v>259</v>
      </c>
      <c r="X14" t="s">
        <v>259</v>
      </c>
      <c r="Y14" t="s">
        <v>259</v>
      </c>
      <c r="Z14" t="s">
        <v>259</v>
      </c>
      <c r="AA14" t="s">
        <v>256</v>
      </c>
      <c r="AB14" t="s">
        <v>256</v>
      </c>
      <c r="AC14" t="s">
        <v>256</v>
      </c>
      <c r="AD14" t="s">
        <v>256</v>
      </c>
      <c r="AE14" t="s">
        <v>256</v>
      </c>
      <c r="AF14" t="s">
        <v>256</v>
      </c>
      <c r="AG14" t="s">
        <v>256</v>
      </c>
      <c r="AH14" t="s">
        <v>257</v>
      </c>
      <c r="AI14" t="s">
        <v>257</v>
      </c>
      <c r="AJ14" t="s">
        <v>14</v>
      </c>
      <c r="AK14" t="s">
        <v>13</v>
      </c>
      <c r="AL14" t="s">
        <v>13</v>
      </c>
      <c r="AM14" t="s">
        <v>13</v>
      </c>
      <c r="AN14" t="s">
        <v>13</v>
      </c>
      <c r="AO14" t="s">
        <v>12</v>
      </c>
      <c r="AP14" t="s">
        <v>17</v>
      </c>
      <c r="AQ14" t="s">
        <v>17</v>
      </c>
      <c r="AR14" t="s">
        <v>18</v>
      </c>
      <c r="AS14" t="s">
        <v>18</v>
      </c>
      <c r="AT14" t="s">
        <v>165</v>
      </c>
      <c r="AU14" t="s">
        <v>165</v>
      </c>
      <c r="AV14" t="s">
        <v>259</v>
      </c>
      <c r="AW14" t="s">
        <v>255</v>
      </c>
      <c r="AX14" t="s">
        <v>255</v>
      </c>
      <c r="AY14" t="s">
        <v>255</v>
      </c>
      <c r="AZ14" t="s">
        <v>255</v>
      </c>
      <c r="BA14" t="s">
        <v>255</v>
      </c>
      <c r="BB14" t="s">
        <v>255</v>
      </c>
      <c r="BC14" t="s">
        <v>255</v>
      </c>
      <c r="BD14" t="s">
        <v>255</v>
      </c>
      <c r="BE14" t="s">
        <v>255</v>
      </c>
      <c r="BF14" t="s">
        <v>255</v>
      </c>
      <c r="BG14" t="s">
        <v>255</v>
      </c>
      <c r="BH14" t="s">
        <v>255</v>
      </c>
      <c r="BI14" t="s">
        <v>255</v>
      </c>
      <c r="BJ14" t="s">
        <v>255</v>
      </c>
    </row>
    <row r="15" spans="1:62" x14ac:dyDescent="0.3">
      <c r="A15" t="s">
        <v>301</v>
      </c>
      <c r="B15" t="s">
        <v>190</v>
      </c>
      <c r="C15" t="s">
        <v>261</v>
      </c>
      <c r="D15">
        <v>7</v>
      </c>
      <c r="E15" t="s">
        <v>279</v>
      </c>
      <c r="F15" t="s">
        <v>259</v>
      </c>
      <c r="G15" t="s">
        <v>259</v>
      </c>
      <c r="H15" t="s">
        <v>259</v>
      </c>
      <c r="I15" t="s">
        <v>259</v>
      </c>
      <c r="J15" t="s">
        <v>259</v>
      </c>
      <c r="K15" t="s">
        <v>259</v>
      </c>
      <c r="L15" t="s">
        <v>259</v>
      </c>
      <c r="M15" t="s">
        <v>259</v>
      </c>
      <c r="N15" t="s">
        <v>259</v>
      </c>
      <c r="O15" t="s">
        <v>259</v>
      </c>
      <c r="P15" t="s">
        <v>259</v>
      </c>
      <c r="Q15" t="s">
        <v>259</v>
      </c>
      <c r="R15" t="s">
        <v>259</v>
      </c>
      <c r="S15" t="s">
        <v>259</v>
      </c>
      <c r="T15" t="s">
        <v>259</v>
      </c>
      <c r="U15" t="s">
        <v>259</v>
      </c>
      <c r="V15" t="s">
        <v>259</v>
      </c>
      <c r="W15" t="s">
        <v>259</v>
      </c>
      <c r="X15" t="s">
        <v>259</v>
      </c>
      <c r="Y15" t="s">
        <v>259</v>
      </c>
      <c r="Z15" t="s">
        <v>259</v>
      </c>
      <c r="AA15" t="s">
        <v>259</v>
      </c>
      <c r="AB15" t="s">
        <v>259</v>
      </c>
      <c r="AC15" t="s">
        <v>259</v>
      </c>
      <c r="AD15" t="s">
        <v>259</v>
      </c>
      <c r="AE15" t="s">
        <v>259</v>
      </c>
      <c r="AF15" t="s">
        <v>259</v>
      </c>
      <c r="AG15" t="s">
        <v>259</v>
      </c>
      <c r="AH15" t="s">
        <v>259</v>
      </c>
      <c r="AI15" t="s">
        <v>259</v>
      </c>
      <c r="AJ15" t="s">
        <v>259</v>
      </c>
      <c r="AK15" t="s">
        <v>259</v>
      </c>
      <c r="AL15" t="s">
        <v>257</v>
      </c>
      <c r="AM15" t="s">
        <v>257</v>
      </c>
      <c r="AN15" t="s">
        <v>257</v>
      </c>
      <c r="AO15" t="s">
        <v>257</v>
      </c>
      <c r="AP15" t="s">
        <v>257</v>
      </c>
      <c r="AQ15" t="s">
        <v>257</v>
      </c>
      <c r="AR15" t="s">
        <v>257</v>
      </c>
      <c r="AS15" t="s">
        <v>257</v>
      </c>
      <c r="AT15" t="s">
        <v>257</v>
      </c>
      <c r="AU15" t="s">
        <v>257</v>
      </c>
      <c r="AV15" t="s">
        <v>14</v>
      </c>
      <c r="AW15" t="s">
        <v>13</v>
      </c>
      <c r="AX15" t="s">
        <v>13</v>
      </c>
      <c r="AY15" t="s">
        <v>12</v>
      </c>
      <c r="AZ15" t="s">
        <v>17</v>
      </c>
      <c r="BA15" t="s">
        <v>17</v>
      </c>
      <c r="BB15" t="s">
        <v>18</v>
      </c>
      <c r="BC15" t="s">
        <v>18</v>
      </c>
      <c r="BD15" t="s">
        <v>18</v>
      </c>
      <c r="BE15" t="s">
        <v>18</v>
      </c>
      <c r="BF15" t="s">
        <v>165</v>
      </c>
      <c r="BG15" t="s">
        <v>165</v>
      </c>
      <c r="BH15" t="s">
        <v>259</v>
      </c>
      <c r="BI15" t="s">
        <v>255</v>
      </c>
      <c r="BJ15" t="s">
        <v>255</v>
      </c>
    </row>
    <row r="16" spans="1:62" x14ac:dyDescent="0.3">
      <c r="A16" t="s">
        <v>301</v>
      </c>
      <c r="B16" t="s">
        <v>190</v>
      </c>
      <c r="C16" t="s">
        <v>261</v>
      </c>
      <c r="D16">
        <v>8</v>
      </c>
      <c r="E16" t="s">
        <v>280</v>
      </c>
      <c r="F16" t="s">
        <v>259</v>
      </c>
      <c r="G16" t="s">
        <v>259</v>
      </c>
      <c r="H16" t="s">
        <v>259</v>
      </c>
      <c r="I16" t="s">
        <v>259</v>
      </c>
      <c r="J16" t="s">
        <v>259</v>
      </c>
      <c r="K16" t="s">
        <v>259</v>
      </c>
      <c r="L16" t="s">
        <v>259</v>
      </c>
      <c r="M16" t="s">
        <v>259</v>
      </c>
      <c r="N16" t="s">
        <v>259</v>
      </c>
      <c r="O16" t="s">
        <v>259</v>
      </c>
      <c r="P16" t="s">
        <v>259</v>
      </c>
      <c r="Q16" t="s">
        <v>259</v>
      </c>
      <c r="R16" t="s">
        <v>259</v>
      </c>
      <c r="S16" t="s">
        <v>259</v>
      </c>
      <c r="T16" t="s">
        <v>259</v>
      </c>
      <c r="U16" t="s">
        <v>259</v>
      </c>
      <c r="V16" t="s">
        <v>259</v>
      </c>
      <c r="W16" t="s">
        <v>259</v>
      </c>
      <c r="X16" t="s">
        <v>259</v>
      </c>
      <c r="Y16" t="s">
        <v>259</v>
      </c>
      <c r="Z16" t="s">
        <v>259</v>
      </c>
      <c r="AA16" t="s">
        <v>259</v>
      </c>
      <c r="AB16" t="s">
        <v>259</v>
      </c>
      <c r="AC16" t="s">
        <v>259</v>
      </c>
      <c r="AD16" t="s">
        <v>259</v>
      </c>
      <c r="AE16" t="s">
        <v>259</v>
      </c>
      <c r="AF16" t="s">
        <v>259</v>
      </c>
      <c r="AG16" t="s">
        <v>259</v>
      </c>
      <c r="AH16" t="s">
        <v>259</v>
      </c>
      <c r="AI16" t="s">
        <v>259</v>
      </c>
      <c r="AJ16" t="s">
        <v>259</v>
      </c>
      <c r="AK16" t="s">
        <v>259</v>
      </c>
      <c r="AL16" t="s">
        <v>259</v>
      </c>
      <c r="AM16" t="s">
        <v>259</v>
      </c>
      <c r="AN16" t="s">
        <v>259</v>
      </c>
      <c r="AO16" t="s">
        <v>257</v>
      </c>
      <c r="AP16" t="s">
        <v>257</v>
      </c>
      <c r="AQ16" t="s">
        <v>257</v>
      </c>
      <c r="AR16" t="s">
        <v>257</v>
      </c>
      <c r="AS16" t="s">
        <v>257</v>
      </c>
      <c r="AT16" t="s">
        <v>257</v>
      </c>
      <c r="AU16" t="s">
        <v>257</v>
      </c>
      <c r="AV16" t="s">
        <v>14</v>
      </c>
      <c r="AW16" t="s">
        <v>14</v>
      </c>
      <c r="AX16" t="s">
        <v>13</v>
      </c>
      <c r="AY16" t="s">
        <v>13</v>
      </c>
      <c r="AZ16" t="s">
        <v>13</v>
      </c>
      <c r="BA16" t="s">
        <v>13</v>
      </c>
      <c r="BB16" t="s">
        <v>12</v>
      </c>
      <c r="BC16" t="s">
        <v>12</v>
      </c>
      <c r="BD16" t="s">
        <v>17</v>
      </c>
      <c r="BE16" t="s">
        <v>17</v>
      </c>
      <c r="BF16" t="s">
        <v>18</v>
      </c>
      <c r="BG16" t="s">
        <v>18</v>
      </c>
      <c r="BH16" t="s">
        <v>165</v>
      </c>
      <c r="BI16" t="s">
        <v>165</v>
      </c>
      <c r="BJ16" t="s">
        <v>259</v>
      </c>
    </row>
    <row r="17" spans="1:62" x14ac:dyDescent="0.3">
      <c r="A17" t="s">
        <v>301</v>
      </c>
      <c r="B17" t="s">
        <v>185</v>
      </c>
      <c r="C17" t="s">
        <v>258</v>
      </c>
      <c r="D17">
        <v>2</v>
      </c>
      <c r="E17" t="s">
        <v>304</v>
      </c>
      <c r="F17" t="s">
        <v>259</v>
      </c>
      <c r="G17" t="s">
        <v>259</v>
      </c>
      <c r="H17" t="s">
        <v>259</v>
      </c>
      <c r="I17" t="s">
        <v>259</v>
      </c>
      <c r="J17" t="s">
        <v>14</v>
      </c>
      <c r="K17" t="s">
        <v>13</v>
      </c>
      <c r="L17" t="s">
        <v>13</v>
      </c>
      <c r="M17" t="s">
        <v>13</v>
      </c>
      <c r="N17" t="s">
        <v>13</v>
      </c>
      <c r="O17" t="s">
        <v>13</v>
      </c>
      <c r="P17" t="s">
        <v>12</v>
      </c>
      <c r="Q17" t="s">
        <v>17</v>
      </c>
      <c r="R17" t="s">
        <v>17</v>
      </c>
      <c r="S17" t="s">
        <v>18</v>
      </c>
      <c r="T17" t="s">
        <v>18</v>
      </c>
      <c r="U17" t="s">
        <v>165</v>
      </c>
      <c r="V17" t="s">
        <v>165</v>
      </c>
      <c r="W17" t="s">
        <v>259</v>
      </c>
      <c r="X17" t="s">
        <v>255</v>
      </c>
      <c r="Y17" t="s">
        <v>255</v>
      </c>
      <c r="Z17" t="s">
        <v>255</v>
      </c>
      <c r="AA17" t="s">
        <v>255</v>
      </c>
      <c r="AB17" t="s">
        <v>255</v>
      </c>
      <c r="AC17" t="s">
        <v>255</v>
      </c>
      <c r="AD17" t="s">
        <v>255</v>
      </c>
      <c r="AE17" t="s">
        <v>255</v>
      </c>
      <c r="AF17" t="s">
        <v>255</v>
      </c>
      <c r="AG17" t="s">
        <v>255</v>
      </c>
      <c r="AH17" t="s">
        <v>255</v>
      </c>
      <c r="AI17" t="s">
        <v>255</v>
      </c>
      <c r="AJ17" t="s">
        <v>255</v>
      </c>
      <c r="AK17" t="s">
        <v>255</v>
      </c>
      <c r="AL17" t="s">
        <v>255</v>
      </c>
      <c r="AM17" t="s">
        <v>255</v>
      </c>
      <c r="AN17" t="s">
        <v>255</v>
      </c>
      <c r="AO17" t="s">
        <v>255</v>
      </c>
      <c r="AP17" t="s">
        <v>255</v>
      </c>
      <c r="AQ17" t="s">
        <v>255</v>
      </c>
      <c r="AR17" t="s">
        <v>255</v>
      </c>
      <c r="AS17" t="s">
        <v>255</v>
      </c>
      <c r="AT17" t="s">
        <v>255</v>
      </c>
      <c r="AU17" t="s">
        <v>255</v>
      </c>
      <c r="AV17" t="s">
        <v>255</v>
      </c>
      <c r="AW17" t="s">
        <v>255</v>
      </c>
      <c r="AX17" t="s">
        <v>255</v>
      </c>
      <c r="AY17" t="s">
        <v>255</v>
      </c>
      <c r="AZ17" t="s">
        <v>255</v>
      </c>
      <c r="BA17" t="s">
        <v>255</v>
      </c>
      <c r="BB17" t="s">
        <v>255</v>
      </c>
      <c r="BC17" t="s">
        <v>255</v>
      </c>
      <c r="BD17" t="s">
        <v>255</v>
      </c>
      <c r="BE17" t="s">
        <v>255</v>
      </c>
      <c r="BF17" t="s">
        <v>255</v>
      </c>
      <c r="BG17" t="s">
        <v>255</v>
      </c>
      <c r="BH17" t="s">
        <v>255</v>
      </c>
      <c r="BI17" t="s">
        <v>255</v>
      </c>
      <c r="BJ17" t="s">
        <v>255</v>
      </c>
    </row>
    <row r="18" spans="1:62" x14ac:dyDescent="0.3">
      <c r="A18" t="s">
        <v>301</v>
      </c>
      <c r="B18" t="s">
        <v>185</v>
      </c>
      <c r="C18" t="s">
        <v>258</v>
      </c>
      <c r="D18">
        <v>4</v>
      </c>
      <c r="E18" t="s">
        <v>189</v>
      </c>
      <c r="F18" t="s">
        <v>259</v>
      </c>
      <c r="G18" t="s">
        <v>259</v>
      </c>
      <c r="H18" t="s">
        <v>259</v>
      </c>
      <c r="I18" t="s">
        <v>259</v>
      </c>
      <c r="J18" t="s">
        <v>259</v>
      </c>
      <c r="K18" t="s">
        <v>259</v>
      </c>
      <c r="L18" t="s">
        <v>259</v>
      </c>
      <c r="M18" t="s">
        <v>259</v>
      </c>
      <c r="N18" t="s">
        <v>259</v>
      </c>
      <c r="O18" t="s">
        <v>259</v>
      </c>
      <c r="P18" t="s">
        <v>259</v>
      </c>
      <c r="Q18" t="s">
        <v>259</v>
      </c>
      <c r="R18" t="s">
        <v>259</v>
      </c>
      <c r="S18" t="s">
        <v>259</v>
      </c>
      <c r="T18" t="s">
        <v>259</v>
      </c>
      <c r="U18" t="s">
        <v>259</v>
      </c>
      <c r="V18" t="s">
        <v>259</v>
      </c>
      <c r="W18" t="s">
        <v>14</v>
      </c>
      <c r="X18" t="s">
        <v>14</v>
      </c>
      <c r="Y18" t="s">
        <v>13</v>
      </c>
      <c r="Z18" t="s">
        <v>13</v>
      </c>
      <c r="AA18" t="s">
        <v>13</v>
      </c>
      <c r="AB18" t="s">
        <v>13</v>
      </c>
      <c r="AC18" t="s">
        <v>12</v>
      </c>
      <c r="AD18" t="s">
        <v>17</v>
      </c>
      <c r="AE18" t="s">
        <v>17</v>
      </c>
      <c r="AF18" t="s">
        <v>18</v>
      </c>
      <c r="AG18" t="s">
        <v>18</v>
      </c>
      <c r="AH18" t="s">
        <v>165</v>
      </c>
      <c r="AI18" t="s">
        <v>165</v>
      </c>
      <c r="AJ18" t="s">
        <v>259</v>
      </c>
      <c r="AK18" t="s">
        <v>255</v>
      </c>
      <c r="AL18" t="s">
        <v>255</v>
      </c>
      <c r="AM18" t="s">
        <v>255</v>
      </c>
      <c r="AN18" t="s">
        <v>255</v>
      </c>
      <c r="AO18" t="s">
        <v>255</v>
      </c>
      <c r="AP18" t="s">
        <v>255</v>
      </c>
      <c r="AQ18" t="s">
        <v>255</v>
      </c>
      <c r="AR18" t="s">
        <v>255</v>
      </c>
      <c r="AS18" t="s">
        <v>255</v>
      </c>
      <c r="AT18" t="s">
        <v>255</v>
      </c>
      <c r="AU18" t="s">
        <v>255</v>
      </c>
      <c r="AV18" t="s">
        <v>255</v>
      </c>
      <c r="AW18" t="s">
        <v>255</v>
      </c>
      <c r="AX18" t="s">
        <v>255</v>
      </c>
      <c r="AY18" t="s">
        <v>255</v>
      </c>
      <c r="AZ18" t="s">
        <v>255</v>
      </c>
      <c r="BA18" t="s">
        <v>255</v>
      </c>
      <c r="BB18" t="s">
        <v>255</v>
      </c>
      <c r="BC18" t="s">
        <v>255</v>
      </c>
      <c r="BD18" t="s">
        <v>255</v>
      </c>
      <c r="BE18" t="s">
        <v>255</v>
      </c>
      <c r="BF18" t="s">
        <v>255</v>
      </c>
      <c r="BG18" t="s">
        <v>255</v>
      </c>
      <c r="BH18" t="s">
        <v>255</v>
      </c>
      <c r="BI18" t="s">
        <v>255</v>
      </c>
      <c r="BJ18" t="s">
        <v>255</v>
      </c>
    </row>
    <row r="19" spans="1:62" x14ac:dyDescent="0.3">
      <c r="A19" t="s">
        <v>301</v>
      </c>
      <c r="B19" t="s">
        <v>185</v>
      </c>
      <c r="C19" t="s">
        <v>258</v>
      </c>
      <c r="D19">
        <v>5</v>
      </c>
      <c r="E19" t="s">
        <v>305</v>
      </c>
      <c r="F19" t="s">
        <v>259</v>
      </c>
      <c r="G19" t="s">
        <v>259</v>
      </c>
      <c r="H19" t="s">
        <v>259</v>
      </c>
      <c r="I19" t="s">
        <v>259</v>
      </c>
      <c r="J19" t="s">
        <v>259</v>
      </c>
      <c r="K19" t="s">
        <v>259</v>
      </c>
      <c r="L19" t="s">
        <v>259</v>
      </c>
      <c r="M19" t="s">
        <v>259</v>
      </c>
      <c r="N19" t="s">
        <v>259</v>
      </c>
      <c r="O19" t="s">
        <v>259</v>
      </c>
      <c r="P19" t="s">
        <v>259</v>
      </c>
      <c r="Q19" t="s">
        <v>259</v>
      </c>
      <c r="R19" t="s">
        <v>259</v>
      </c>
      <c r="S19" t="s">
        <v>259</v>
      </c>
      <c r="T19" t="s">
        <v>259</v>
      </c>
      <c r="U19" t="s">
        <v>259</v>
      </c>
      <c r="V19" t="s">
        <v>259</v>
      </c>
      <c r="W19" t="s">
        <v>259</v>
      </c>
      <c r="X19" t="s">
        <v>259</v>
      </c>
      <c r="Y19" t="s">
        <v>259</v>
      </c>
      <c r="Z19" t="s">
        <v>259</v>
      </c>
      <c r="AA19" t="s">
        <v>260</v>
      </c>
      <c r="AB19" t="s">
        <v>260</v>
      </c>
      <c r="AC19" t="s">
        <v>260</v>
      </c>
      <c r="AD19" t="s">
        <v>260</v>
      </c>
      <c r="AE19" t="s">
        <v>260</v>
      </c>
      <c r="AF19" t="s">
        <v>260</v>
      </c>
      <c r="AG19" t="s">
        <v>260</v>
      </c>
      <c r="AH19" t="s">
        <v>260</v>
      </c>
      <c r="AI19" t="s">
        <v>260</v>
      </c>
      <c r="AJ19" t="s">
        <v>14</v>
      </c>
      <c r="AK19" t="s">
        <v>13</v>
      </c>
      <c r="AL19" t="s">
        <v>13</v>
      </c>
      <c r="AM19" t="s">
        <v>13</v>
      </c>
      <c r="AN19" t="s">
        <v>13</v>
      </c>
      <c r="AO19" t="s">
        <v>12</v>
      </c>
      <c r="AP19" t="s">
        <v>17</v>
      </c>
      <c r="AQ19" t="s">
        <v>17</v>
      </c>
      <c r="AR19" t="s">
        <v>18</v>
      </c>
      <c r="AS19" t="s">
        <v>18</v>
      </c>
      <c r="AT19" t="s">
        <v>165</v>
      </c>
      <c r="AU19" t="s">
        <v>165</v>
      </c>
      <c r="AV19" t="s">
        <v>259</v>
      </c>
      <c r="AW19" t="s">
        <v>255</v>
      </c>
      <c r="AX19" t="s">
        <v>255</v>
      </c>
      <c r="AY19" t="s">
        <v>255</v>
      </c>
      <c r="AZ19" t="s">
        <v>255</v>
      </c>
      <c r="BA19" t="s">
        <v>255</v>
      </c>
      <c r="BB19" t="s">
        <v>255</v>
      </c>
      <c r="BC19" t="s">
        <v>255</v>
      </c>
      <c r="BD19" t="s">
        <v>255</v>
      </c>
      <c r="BE19" t="s">
        <v>255</v>
      </c>
      <c r="BF19" t="s">
        <v>255</v>
      </c>
      <c r="BG19" t="s">
        <v>255</v>
      </c>
      <c r="BH19" t="s">
        <v>255</v>
      </c>
      <c r="BI19" t="s">
        <v>255</v>
      </c>
      <c r="BJ19" t="s">
        <v>255</v>
      </c>
    </row>
    <row r="20" spans="1:62" x14ac:dyDescent="0.3">
      <c r="A20" t="s">
        <v>301</v>
      </c>
      <c r="B20" t="s">
        <v>185</v>
      </c>
      <c r="C20" t="s">
        <v>258</v>
      </c>
      <c r="D20">
        <v>7</v>
      </c>
      <c r="E20" t="s">
        <v>279</v>
      </c>
      <c r="F20" t="s">
        <v>259</v>
      </c>
      <c r="G20" t="s">
        <v>259</v>
      </c>
      <c r="H20" t="s">
        <v>259</v>
      </c>
      <c r="I20" t="s">
        <v>259</v>
      </c>
      <c r="J20" t="s">
        <v>259</v>
      </c>
      <c r="K20" t="s">
        <v>259</v>
      </c>
      <c r="L20" t="s">
        <v>259</v>
      </c>
      <c r="M20" t="s">
        <v>259</v>
      </c>
      <c r="N20" t="s">
        <v>259</v>
      </c>
      <c r="O20" t="s">
        <v>259</v>
      </c>
      <c r="P20" t="s">
        <v>259</v>
      </c>
      <c r="Q20" t="s">
        <v>259</v>
      </c>
      <c r="R20" t="s">
        <v>259</v>
      </c>
      <c r="S20" t="s">
        <v>259</v>
      </c>
      <c r="T20" t="s">
        <v>259</v>
      </c>
      <c r="U20" t="s">
        <v>259</v>
      </c>
      <c r="V20" t="s">
        <v>259</v>
      </c>
      <c r="W20" t="s">
        <v>259</v>
      </c>
      <c r="X20" t="s">
        <v>259</v>
      </c>
      <c r="Y20" t="s">
        <v>259</v>
      </c>
      <c r="Z20" t="s">
        <v>259</v>
      </c>
      <c r="AA20" t="s">
        <v>259</v>
      </c>
      <c r="AB20" t="s">
        <v>259</v>
      </c>
      <c r="AC20" t="s">
        <v>259</v>
      </c>
      <c r="AD20" t="s">
        <v>259</v>
      </c>
      <c r="AE20" t="s">
        <v>259</v>
      </c>
      <c r="AF20" t="s">
        <v>259</v>
      </c>
      <c r="AG20" t="s">
        <v>259</v>
      </c>
      <c r="AH20" t="s">
        <v>259</v>
      </c>
      <c r="AI20" t="s">
        <v>259</v>
      </c>
      <c r="AJ20" t="s">
        <v>259</v>
      </c>
      <c r="AK20" t="s">
        <v>259</v>
      </c>
      <c r="AL20" t="s">
        <v>260</v>
      </c>
      <c r="AM20" t="s">
        <v>260</v>
      </c>
      <c r="AN20" t="s">
        <v>260</v>
      </c>
      <c r="AO20" t="s">
        <v>260</v>
      </c>
      <c r="AP20" t="s">
        <v>260</v>
      </c>
      <c r="AQ20" t="s">
        <v>260</v>
      </c>
      <c r="AR20" t="s">
        <v>260</v>
      </c>
      <c r="AS20" t="s">
        <v>260</v>
      </c>
      <c r="AT20" t="s">
        <v>260</v>
      </c>
      <c r="AU20" t="s">
        <v>260</v>
      </c>
      <c r="AV20" t="s">
        <v>14</v>
      </c>
      <c r="AW20" t="s">
        <v>13</v>
      </c>
      <c r="AX20" t="s">
        <v>13</v>
      </c>
      <c r="AY20" t="s">
        <v>12</v>
      </c>
      <c r="AZ20" t="s">
        <v>17</v>
      </c>
      <c r="BA20" t="s">
        <v>17</v>
      </c>
      <c r="BB20" t="s">
        <v>18</v>
      </c>
      <c r="BC20" t="s">
        <v>18</v>
      </c>
      <c r="BD20" t="s">
        <v>18</v>
      </c>
      <c r="BE20" t="s">
        <v>18</v>
      </c>
      <c r="BF20" t="s">
        <v>165</v>
      </c>
      <c r="BG20" t="s">
        <v>165</v>
      </c>
      <c r="BH20" t="s">
        <v>259</v>
      </c>
      <c r="BI20" t="s">
        <v>255</v>
      </c>
      <c r="BJ20" t="s">
        <v>255</v>
      </c>
    </row>
    <row r="21" spans="1:62" x14ac:dyDescent="0.3">
      <c r="A21" t="s">
        <v>301</v>
      </c>
      <c r="B21" t="s">
        <v>277</v>
      </c>
      <c r="C21" t="s">
        <v>254</v>
      </c>
      <c r="D21">
        <v>3</v>
      </c>
      <c r="E21" t="s">
        <v>307</v>
      </c>
      <c r="F21" t="s">
        <v>308</v>
      </c>
      <c r="G21" t="s">
        <v>308</v>
      </c>
      <c r="H21" t="s">
        <v>308</v>
      </c>
      <c r="I21" t="s">
        <v>308</v>
      </c>
      <c r="J21" t="s">
        <v>308</v>
      </c>
      <c r="K21" t="s">
        <v>308</v>
      </c>
      <c r="L21" t="s">
        <v>309</v>
      </c>
      <c r="M21" t="s">
        <v>309</v>
      </c>
      <c r="N21" t="s">
        <v>309</v>
      </c>
      <c r="O21" t="s">
        <v>309</v>
      </c>
      <c r="P21" t="s">
        <v>309</v>
      </c>
      <c r="Q21" t="s">
        <v>309</v>
      </c>
      <c r="R21" t="s">
        <v>309</v>
      </c>
      <c r="S21" t="s">
        <v>16</v>
      </c>
      <c r="T21" t="s">
        <v>15</v>
      </c>
      <c r="U21" t="s">
        <v>15</v>
      </c>
      <c r="V21" t="s">
        <v>15</v>
      </c>
      <c r="W21" t="s">
        <v>14</v>
      </c>
      <c r="X21" t="s">
        <v>13</v>
      </c>
      <c r="Y21" t="s">
        <v>13</v>
      </c>
      <c r="Z21" t="s">
        <v>13</v>
      </c>
      <c r="AA21" t="s">
        <v>12</v>
      </c>
      <c r="AB21" t="s">
        <v>17</v>
      </c>
      <c r="AC21" t="s">
        <v>17</v>
      </c>
      <c r="AD21" t="s">
        <v>18</v>
      </c>
      <c r="AE21" t="s">
        <v>18</v>
      </c>
      <c r="AF21" t="s">
        <v>165</v>
      </c>
      <c r="AG21" t="s">
        <v>165</v>
      </c>
      <c r="AH21" t="s">
        <v>164</v>
      </c>
      <c r="AI21" t="s">
        <v>255</v>
      </c>
      <c r="AJ21" t="s">
        <v>255</v>
      </c>
      <c r="AK21" t="s">
        <v>255</v>
      </c>
      <c r="AL21" t="s">
        <v>255</v>
      </c>
      <c r="AM21" t="s">
        <v>255</v>
      </c>
      <c r="AN21" t="s">
        <v>255</v>
      </c>
      <c r="AO21" t="s">
        <v>255</v>
      </c>
      <c r="AP21" t="s">
        <v>255</v>
      </c>
      <c r="AQ21" t="s">
        <v>255</v>
      </c>
      <c r="AR21" t="s">
        <v>255</v>
      </c>
      <c r="AS21" t="s">
        <v>255</v>
      </c>
      <c r="AT21" t="s">
        <v>255</v>
      </c>
      <c r="AU21" t="s">
        <v>255</v>
      </c>
      <c r="AV21" t="s">
        <v>255</v>
      </c>
      <c r="AW21" t="s">
        <v>255</v>
      </c>
      <c r="AX21" t="s">
        <v>255</v>
      </c>
      <c r="AY21" t="s">
        <v>255</v>
      </c>
      <c r="AZ21" t="s">
        <v>255</v>
      </c>
      <c r="BA21" t="s">
        <v>255</v>
      </c>
      <c r="BB21" t="s">
        <v>255</v>
      </c>
      <c r="BC21" t="s">
        <v>255</v>
      </c>
      <c r="BD21" t="s">
        <v>255</v>
      </c>
      <c r="BE21" t="s">
        <v>255</v>
      </c>
      <c r="BF21" t="s">
        <v>255</v>
      </c>
      <c r="BG21" t="s">
        <v>255</v>
      </c>
      <c r="BH21" t="s">
        <v>255</v>
      </c>
      <c r="BI21" t="s">
        <v>255</v>
      </c>
      <c r="BJ21" t="s">
        <v>255</v>
      </c>
    </row>
    <row r="22" spans="1:62" x14ac:dyDescent="0.3">
      <c r="A22" t="s">
        <v>301</v>
      </c>
      <c r="B22" t="s">
        <v>277</v>
      </c>
      <c r="C22" t="s">
        <v>254</v>
      </c>
      <c r="D22">
        <v>4</v>
      </c>
      <c r="E22" t="s">
        <v>189</v>
      </c>
      <c r="F22" t="s">
        <v>308</v>
      </c>
      <c r="G22" t="s">
        <v>308</v>
      </c>
      <c r="H22" t="s">
        <v>308</v>
      </c>
      <c r="I22" t="s">
        <v>308</v>
      </c>
      <c r="J22" t="s">
        <v>308</v>
      </c>
      <c r="K22" t="s">
        <v>308</v>
      </c>
      <c r="L22" t="s">
        <v>309</v>
      </c>
      <c r="M22" t="s">
        <v>309</v>
      </c>
      <c r="N22" t="s">
        <v>309</v>
      </c>
      <c r="O22" t="s">
        <v>309</v>
      </c>
      <c r="P22" t="s">
        <v>309</v>
      </c>
      <c r="Q22" t="s">
        <v>309</v>
      </c>
      <c r="R22" t="s">
        <v>309</v>
      </c>
      <c r="S22" t="s">
        <v>16</v>
      </c>
      <c r="T22" t="s">
        <v>15</v>
      </c>
      <c r="U22" t="s">
        <v>15</v>
      </c>
      <c r="V22" t="s">
        <v>15</v>
      </c>
      <c r="W22" t="s">
        <v>14</v>
      </c>
      <c r="X22" t="s">
        <v>14</v>
      </c>
      <c r="Y22" t="s">
        <v>13</v>
      </c>
      <c r="Z22" t="s">
        <v>13</v>
      </c>
      <c r="AA22" t="s">
        <v>13</v>
      </c>
      <c r="AB22" t="s">
        <v>13</v>
      </c>
      <c r="AC22" t="s">
        <v>12</v>
      </c>
      <c r="AD22" t="s">
        <v>17</v>
      </c>
      <c r="AE22" t="s">
        <v>17</v>
      </c>
      <c r="AF22" t="s">
        <v>18</v>
      </c>
      <c r="AG22" t="s">
        <v>18</v>
      </c>
      <c r="AH22" t="s">
        <v>165</v>
      </c>
      <c r="AI22" t="s">
        <v>165</v>
      </c>
      <c r="AJ22" t="s">
        <v>164</v>
      </c>
      <c r="AK22" t="s">
        <v>255</v>
      </c>
      <c r="AL22" t="s">
        <v>255</v>
      </c>
      <c r="AM22" t="s">
        <v>255</v>
      </c>
      <c r="AN22" t="s">
        <v>255</v>
      </c>
      <c r="AO22" t="s">
        <v>255</v>
      </c>
      <c r="AP22" t="s">
        <v>255</v>
      </c>
      <c r="AQ22" t="s">
        <v>255</v>
      </c>
      <c r="AR22" t="s">
        <v>255</v>
      </c>
      <c r="AS22" t="s">
        <v>255</v>
      </c>
      <c r="AT22" t="s">
        <v>255</v>
      </c>
      <c r="AU22" t="s">
        <v>255</v>
      </c>
      <c r="AV22" t="s">
        <v>255</v>
      </c>
      <c r="AW22" t="s">
        <v>255</v>
      </c>
      <c r="AX22" t="s">
        <v>255</v>
      </c>
      <c r="AY22" t="s">
        <v>255</v>
      </c>
      <c r="AZ22" t="s">
        <v>255</v>
      </c>
      <c r="BA22" t="s">
        <v>255</v>
      </c>
      <c r="BB22" t="s">
        <v>255</v>
      </c>
      <c r="BC22" t="s">
        <v>255</v>
      </c>
      <c r="BD22" t="s">
        <v>255</v>
      </c>
      <c r="BE22" t="s">
        <v>255</v>
      </c>
      <c r="BF22" t="s">
        <v>255</v>
      </c>
      <c r="BG22" t="s">
        <v>255</v>
      </c>
      <c r="BH22" t="s">
        <v>255</v>
      </c>
      <c r="BI22" t="s">
        <v>255</v>
      </c>
      <c r="BJ22" t="s">
        <v>255</v>
      </c>
    </row>
    <row r="23" spans="1:62" x14ac:dyDescent="0.3">
      <c r="A23" t="s">
        <v>301</v>
      </c>
      <c r="B23" t="s">
        <v>277</v>
      </c>
      <c r="C23" t="s">
        <v>254</v>
      </c>
      <c r="D23">
        <v>7</v>
      </c>
      <c r="E23" t="s">
        <v>279</v>
      </c>
      <c r="F23" t="s">
        <v>308</v>
      </c>
      <c r="G23" t="s">
        <v>308</v>
      </c>
      <c r="H23" t="s">
        <v>308</v>
      </c>
      <c r="I23" t="s">
        <v>308</v>
      </c>
      <c r="J23" t="s">
        <v>308</v>
      </c>
      <c r="K23" t="s">
        <v>308</v>
      </c>
      <c r="L23" t="s">
        <v>309</v>
      </c>
      <c r="M23" t="s">
        <v>309</v>
      </c>
      <c r="N23" t="s">
        <v>309</v>
      </c>
      <c r="O23" t="s">
        <v>309</v>
      </c>
      <c r="P23" t="s">
        <v>309</v>
      </c>
      <c r="Q23" t="s">
        <v>309</v>
      </c>
      <c r="R23" t="s">
        <v>309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  <c r="AA23" t="s">
        <v>256</v>
      </c>
      <c r="AB23" t="s">
        <v>256</v>
      </c>
      <c r="AC23" t="s">
        <v>256</v>
      </c>
      <c r="AD23" t="s">
        <v>256</v>
      </c>
      <c r="AE23" t="s">
        <v>256</v>
      </c>
      <c r="AF23" t="s">
        <v>256</v>
      </c>
      <c r="AG23" t="s">
        <v>256</v>
      </c>
      <c r="AH23" t="s">
        <v>256</v>
      </c>
      <c r="AI23" t="s">
        <v>16</v>
      </c>
      <c r="AJ23" t="s">
        <v>15</v>
      </c>
      <c r="AK23" t="s">
        <v>15</v>
      </c>
      <c r="AL23" t="s">
        <v>257</v>
      </c>
      <c r="AM23" t="s">
        <v>257</v>
      </c>
      <c r="AN23" t="s">
        <v>257</v>
      </c>
      <c r="AO23" t="s">
        <v>257</v>
      </c>
      <c r="AP23" t="s">
        <v>257</v>
      </c>
      <c r="AQ23" t="s">
        <v>257</v>
      </c>
      <c r="AR23" t="s">
        <v>257</v>
      </c>
      <c r="AS23" t="s">
        <v>257</v>
      </c>
      <c r="AT23" t="s">
        <v>257</v>
      </c>
      <c r="AU23" t="s">
        <v>257</v>
      </c>
      <c r="AV23" t="s">
        <v>14</v>
      </c>
      <c r="AW23" t="s">
        <v>13</v>
      </c>
      <c r="AX23" t="s">
        <v>13</v>
      </c>
      <c r="AY23" t="s">
        <v>12</v>
      </c>
      <c r="AZ23" t="s">
        <v>17</v>
      </c>
      <c r="BA23" t="s">
        <v>17</v>
      </c>
      <c r="BB23" t="s">
        <v>18</v>
      </c>
      <c r="BC23" t="s">
        <v>18</v>
      </c>
      <c r="BD23" t="s">
        <v>18</v>
      </c>
      <c r="BE23" t="s">
        <v>18</v>
      </c>
      <c r="BF23" t="s">
        <v>165</v>
      </c>
      <c r="BG23" t="s">
        <v>165</v>
      </c>
      <c r="BH23" t="s">
        <v>164</v>
      </c>
      <c r="BI23" t="s">
        <v>255</v>
      </c>
      <c r="BJ23" t="s">
        <v>255</v>
      </c>
    </row>
    <row r="24" spans="1:62" x14ac:dyDescent="0.3">
      <c r="A24" t="s">
        <v>301</v>
      </c>
      <c r="B24" t="s">
        <v>277</v>
      </c>
      <c r="C24" t="s">
        <v>254</v>
      </c>
      <c r="D24">
        <v>8</v>
      </c>
      <c r="E24" t="s">
        <v>280</v>
      </c>
      <c r="F24" t="s">
        <v>308</v>
      </c>
      <c r="G24" t="s">
        <v>308</v>
      </c>
      <c r="H24" t="s">
        <v>308</v>
      </c>
      <c r="I24" t="s">
        <v>308</v>
      </c>
      <c r="J24" t="s">
        <v>308</v>
      </c>
      <c r="K24" t="s">
        <v>308</v>
      </c>
      <c r="L24" t="s">
        <v>309</v>
      </c>
      <c r="M24" t="s">
        <v>309</v>
      </c>
      <c r="N24" t="s">
        <v>309</v>
      </c>
      <c r="O24" t="s">
        <v>309</v>
      </c>
      <c r="P24" t="s">
        <v>309</v>
      </c>
      <c r="Q24" t="s">
        <v>309</v>
      </c>
      <c r="R24" t="s">
        <v>309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  <c r="X24" t="s">
        <v>256</v>
      </c>
      <c r="Y24" t="s">
        <v>256</v>
      </c>
      <c r="Z24" t="s">
        <v>256</v>
      </c>
      <c r="AA24" t="s">
        <v>256</v>
      </c>
      <c r="AB24" t="s">
        <v>256</v>
      </c>
      <c r="AC24" t="s">
        <v>256</v>
      </c>
      <c r="AD24" t="s">
        <v>256</v>
      </c>
      <c r="AE24" t="s">
        <v>256</v>
      </c>
      <c r="AF24" t="s">
        <v>256</v>
      </c>
      <c r="AG24" t="s">
        <v>256</v>
      </c>
      <c r="AH24" t="s">
        <v>256</v>
      </c>
      <c r="AI24" t="s">
        <v>256</v>
      </c>
      <c r="AJ24" t="s">
        <v>256</v>
      </c>
      <c r="AK24" t="s">
        <v>16</v>
      </c>
      <c r="AL24" t="s">
        <v>15</v>
      </c>
      <c r="AM24" t="s">
        <v>15</v>
      </c>
      <c r="AN24" t="s">
        <v>15</v>
      </c>
      <c r="AO24" t="s">
        <v>257</v>
      </c>
      <c r="AP24" t="s">
        <v>257</v>
      </c>
      <c r="AQ24" t="s">
        <v>257</v>
      </c>
      <c r="AR24" t="s">
        <v>257</v>
      </c>
      <c r="AS24" t="s">
        <v>257</v>
      </c>
      <c r="AT24" t="s">
        <v>257</v>
      </c>
      <c r="AU24" t="s">
        <v>257</v>
      </c>
      <c r="AV24" t="s">
        <v>14</v>
      </c>
      <c r="AW24" t="s">
        <v>14</v>
      </c>
      <c r="AX24" t="s">
        <v>13</v>
      </c>
      <c r="AY24" t="s">
        <v>13</v>
      </c>
      <c r="AZ24" t="s">
        <v>13</v>
      </c>
      <c r="BA24" t="s">
        <v>13</v>
      </c>
      <c r="BB24" t="s">
        <v>12</v>
      </c>
      <c r="BC24" t="s">
        <v>12</v>
      </c>
      <c r="BD24" t="s">
        <v>17</v>
      </c>
      <c r="BE24" t="s">
        <v>17</v>
      </c>
      <c r="BF24" t="s">
        <v>18</v>
      </c>
      <c r="BG24" t="s">
        <v>18</v>
      </c>
      <c r="BH24" t="s">
        <v>165</v>
      </c>
      <c r="BI24" t="s">
        <v>165</v>
      </c>
      <c r="BJ24" t="s">
        <v>164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7EB2-E569-44FA-8623-418CDCA89481}">
  <dimension ref="A1:B9"/>
  <sheetViews>
    <sheetView workbookViewId="0">
      <selection activeCell="L15" sqref="L15"/>
    </sheetView>
  </sheetViews>
  <sheetFormatPr defaultRowHeight="14.4" x14ac:dyDescent="0.3"/>
  <cols>
    <col min="1" max="1" width="18.44140625" bestFit="1" customWidth="1"/>
    <col min="2" max="2" width="10.44140625" bestFit="1" customWidth="1"/>
  </cols>
  <sheetData>
    <row r="1" spans="1:2" x14ac:dyDescent="0.3">
      <c r="A1" t="s">
        <v>262</v>
      </c>
      <c r="B1" t="s">
        <v>263</v>
      </c>
    </row>
    <row r="2" spans="1:2" x14ac:dyDescent="0.3">
      <c r="A2" t="s">
        <v>264</v>
      </c>
      <c r="B2" t="s">
        <v>35</v>
      </c>
    </row>
    <row r="3" spans="1:2" x14ac:dyDescent="0.3">
      <c r="A3" t="s">
        <v>265</v>
      </c>
      <c r="B3" t="s">
        <v>266</v>
      </c>
    </row>
    <row r="4" spans="1:2" x14ac:dyDescent="0.3">
      <c r="A4" t="s">
        <v>267</v>
      </c>
      <c r="B4" t="s">
        <v>268</v>
      </c>
    </row>
    <row r="5" spans="1:2" x14ac:dyDescent="0.3">
      <c r="A5" t="s">
        <v>310</v>
      </c>
    </row>
    <row r="6" spans="1:2" x14ac:dyDescent="0.3">
      <c r="A6" t="s">
        <v>269</v>
      </c>
      <c r="B6">
        <v>2</v>
      </c>
    </row>
    <row r="7" spans="1:2" x14ac:dyDescent="0.3">
      <c r="A7" t="s">
        <v>270</v>
      </c>
      <c r="B7">
        <v>1</v>
      </c>
    </row>
    <row r="8" spans="1:2" x14ac:dyDescent="0.3">
      <c r="A8" t="s">
        <v>271</v>
      </c>
      <c r="B8">
        <v>2</v>
      </c>
    </row>
    <row r="9" spans="1:2" x14ac:dyDescent="0.3">
      <c r="A9" t="s">
        <v>272</v>
      </c>
      <c r="B9">
        <v>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29F8-652B-4EC2-AE63-23DDA0D8F80B}">
  <dimension ref="A1:H10"/>
  <sheetViews>
    <sheetView tabSelected="1" workbookViewId="0">
      <selection activeCell="D17" sqref="D17"/>
    </sheetView>
  </sheetViews>
  <sheetFormatPr defaultRowHeight="14.4" x14ac:dyDescent="0.3"/>
  <cols>
    <col min="1" max="1" width="18.33203125" bestFit="1" customWidth="1"/>
    <col min="2" max="2" width="6" style="2" bestFit="1" customWidth="1"/>
    <col min="3" max="3" width="12.109375" bestFit="1" customWidth="1"/>
    <col min="4" max="6" width="13.33203125" bestFit="1" customWidth="1"/>
  </cols>
  <sheetData>
    <row r="1" spans="1:8" x14ac:dyDescent="0.3">
      <c r="A1" t="s">
        <v>311</v>
      </c>
      <c r="B1" s="2" t="s">
        <v>273</v>
      </c>
      <c r="C1" t="s">
        <v>254</v>
      </c>
      <c r="D1" t="s">
        <v>258</v>
      </c>
      <c r="E1" t="s">
        <v>261</v>
      </c>
      <c r="F1" t="s">
        <v>274</v>
      </c>
      <c r="G1" t="s">
        <v>321</v>
      </c>
      <c r="H1" t="s">
        <v>322</v>
      </c>
    </row>
    <row r="2" spans="1:8" x14ac:dyDescent="0.3">
      <c r="A2" t="s">
        <v>320</v>
      </c>
      <c r="B2" s="2" t="s">
        <v>16</v>
      </c>
      <c r="C2" t="s">
        <v>312</v>
      </c>
      <c r="D2" t="s">
        <v>313</v>
      </c>
      <c r="E2" t="s">
        <v>313</v>
      </c>
      <c r="F2" t="s">
        <v>313</v>
      </c>
      <c r="G2" t="s">
        <v>323</v>
      </c>
      <c r="H2" t="s">
        <v>324</v>
      </c>
    </row>
    <row r="3" spans="1:8" x14ac:dyDescent="0.3">
      <c r="A3" t="s">
        <v>320</v>
      </c>
      <c r="B3" s="2" t="s">
        <v>15</v>
      </c>
      <c r="C3" t="s">
        <v>312</v>
      </c>
      <c r="D3" t="s">
        <v>313</v>
      </c>
      <c r="E3" t="s">
        <v>313</v>
      </c>
      <c r="F3" t="s">
        <v>313</v>
      </c>
      <c r="G3" t="s">
        <v>325</v>
      </c>
      <c r="H3" t="s">
        <v>326</v>
      </c>
    </row>
    <row r="4" spans="1:8" x14ac:dyDescent="0.3">
      <c r="A4" t="s">
        <v>320</v>
      </c>
      <c r="B4" s="2" t="s">
        <v>14</v>
      </c>
      <c r="C4" t="s">
        <v>312</v>
      </c>
      <c r="D4" t="s">
        <v>314</v>
      </c>
      <c r="E4" t="s">
        <v>314</v>
      </c>
      <c r="F4" t="s">
        <v>314</v>
      </c>
      <c r="G4" t="s">
        <v>327</v>
      </c>
      <c r="H4" t="s">
        <v>328</v>
      </c>
    </row>
    <row r="5" spans="1:8" x14ac:dyDescent="0.3">
      <c r="A5" t="s">
        <v>320</v>
      </c>
      <c r="B5" s="2" t="s">
        <v>13</v>
      </c>
      <c r="C5" t="s">
        <v>315</v>
      </c>
      <c r="D5" t="s">
        <v>312</v>
      </c>
      <c r="E5" t="s">
        <v>312</v>
      </c>
      <c r="F5" t="s">
        <v>312</v>
      </c>
      <c r="G5" t="s">
        <v>329</v>
      </c>
      <c r="H5" t="s">
        <v>330</v>
      </c>
    </row>
    <row r="6" spans="1:8" x14ac:dyDescent="0.3">
      <c r="A6" t="s">
        <v>320</v>
      </c>
      <c r="B6" s="2" t="s">
        <v>12</v>
      </c>
      <c r="C6" t="s">
        <v>312</v>
      </c>
      <c r="D6" t="s">
        <v>314</v>
      </c>
      <c r="E6" t="s">
        <v>314</v>
      </c>
      <c r="F6" t="s">
        <v>314</v>
      </c>
      <c r="G6" t="s">
        <v>331</v>
      </c>
      <c r="H6" t="s">
        <v>332</v>
      </c>
    </row>
    <row r="7" spans="1:8" x14ac:dyDescent="0.3">
      <c r="A7" t="s">
        <v>320</v>
      </c>
      <c r="B7" s="2" t="s">
        <v>17</v>
      </c>
      <c r="C7" t="s">
        <v>312</v>
      </c>
      <c r="D7" t="s">
        <v>314</v>
      </c>
      <c r="E7" t="s">
        <v>314</v>
      </c>
      <c r="F7" t="s">
        <v>314</v>
      </c>
      <c r="G7" t="s">
        <v>333</v>
      </c>
      <c r="H7" t="s">
        <v>334</v>
      </c>
    </row>
    <row r="8" spans="1:8" x14ac:dyDescent="0.3">
      <c r="A8" t="s">
        <v>320</v>
      </c>
      <c r="B8" s="2" t="s">
        <v>18</v>
      </c>
      <c r="C8" t="s">
        <v>312</v>
      </c>
      <c r="D8" t="s">
        <v>314</v>
      </c>
      <c r="E8" t="s">
        <v>314</v>
      </c>
      <c r="F8" t="s">
        <v>314</v>
      </c>
      <c r="G8" t="s">
        <v>335</v>
      </c>
      <c r="H8" t="s">
        <v>336</v>
      </c>
    </row>
    <row r="9" spans="1:8" x14ac:dyDescent="0.3">
      <c r="A9" t="s">
        <v>320</v>
      </c>
      <c r="B9" s="2" t="s">
        <v>165</v>
      </c>
      <c r="C9" t="s">
        <v>312</v>
      </c>
      <c r="D9" t="s">
        <v>314</v>
      </c>
      <c r="E9" t="s">
        <v>314</v>
      </c>
      <c r="F9" t="s">
        <v>314</v>
      </c>
      <c r="G9" t="s">
        <v>337</v>
      </c>
      <c r="H9" t="s">
        <v>338</v>
      </c>
    </row>
    <row r="10" spans="1:8" x14ac:dyDescent="0.3">
      <c r="A10" t="s">
        <v>320</v>
      </c>
      <c r="B10" s="2" t="s">
        <v>164</v>
      </c>
      <c r="C10" t="s">
        <v>312</v>
      </c>
      <c r="D10" t="s">
        <v>313</v>
      </c>
      <c r="E10" t="s">
        <v>313</v>
      </c>
      <c r="F10" t="s">
        <v>313</v>
      </c>
      <c r="G10" t="s">
        <v>339</v>
      </c>
      <c r="H10" t="s">
        <v>340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231028-4555-4db7-b9ae-43405fdafd56">
      <Terms xmlns="http://schemas.microsoft.com/office/infopath/2007/PartnerControls"/>
    </lcf76f155ced4ddcb4097134ff3c332f>
    <TaxCatchAll xmlns="95a8867b-7484-4fc5-958a-8f505ab43f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533DFB514E1E45BE306D4A3AF43461" ma:contentTypeVersion="13" ma:contentTypeDescription="Crie um novo documento." ma:contentTypeScope="" ma:versionID="407ffb57e47b5280d4ab9f9af0da5531">
  <xsd:schema xmlns:xsd="http://www.w3.org/2001/XMLSchema" xmlns:xs="http://www.w3.org/2001/XMLSchema" xmlns:p="http://schemas.microsoft.com/office/2006/metadata/properties" xmlns:ns2="02231028-4555-4db7-b9ae-43405fdafd56" xmlns:ns3="95a8867b-7484-4fc5-958a-8f505ab43ffc" targetNamespace="http://schemas.microsoft.com/office/2006/metadata/properties" ma:root="true" ma:fieldsID="eaa38c0dd50715bad44abcb568d507bb" ns2:_="" ns3:_="">
    <xsd:import namespace="02231028-4555-4db7-b9ae-43405fdafd56"/>
    <xsd:import namespace="95a8867b-7484-4fc5-958a-8f505ab43f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231028-4555-4db7-b9ae-43405fdafd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011570e-2da0-486c-a8e9-8edc141213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867b-7484-4fc5-958a-8f505ab43f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8e0ef-f13c-4004-8d64-a69276ff1c5c}" ma:internalName="TaxCatchAll" ma:showField="CatchAllData" ma:web="95a8867b-7484-4fc5-958a-8f505ab43f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DBE0B0-2951-4A74-94B6-646C85AF8B69}">
  <ds:schemaRefs>
    <ds:schemaRef ds:uri="http://schemas.microsoft.com/office/2006/metadata/properties"/>
    <ds:schemaRef ds:uri="http://schemas.microsoft.com/office/infopath/2007/PartnerControls"/>
    <ds:schemaRef ds:uri="02231028-4555-4db7-b9ae-43405fdafd56"/>
    <ds:schemaRef ds:uri="95a8867b-7484-4fc5-958a-8f505ab43ffc"/>
  </ds:schemaRefs>
</ds:datastoreItem>
</file>

<file path=customXml/itemProps2.xml><?xml version="1.0" encoding="utf-8"?>
<ds:datastoreItem xmlns:ds="http://schemas.openxmlformats.org/officeDocument/2006/customXml" ds:itemID="{E9401980-7653-4B2D-B71B-B678E7125F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BBAE40-7066-477D-9D89-A6D125B21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231028-4555-4db7-b9ae-43405fdafd56"/>
    <ds:schemaRef ds:uri="95a8867b-7484-4fc5-958a-8f505ab43f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view_plan (5)</vt:lpstr>
      <vt:lpstr>view_plan (4)</vt:lpstr>
      <vt:lpstr>view_plan (3)</vt:lpstr>
      <vt:lpstr>view_plan (2)</vt:lpstr>
      <vt:lpstr>tab_projetos</vt:lpstr>
      <vt:lpstr>tab_recursos</vt:lpstr>
      <vt:lpstr>tab_disponibilidade</vt:lpstr>
      <vt:lpstr>tab_squad</vt:lpstr>
      <vt:lpstr>tab_tag</vt:lpstr>
      <vt:lpstr>tab_classificacao</vt:lpstr>
      <vt:lpstr>tab_complexidade</vt:lpstr>
      <vt:lpstr>tab_etapas</vt:lpstr>
      <vt:lpstr>tab_categoria_ausencia</vt:lpstr>
      <vt:lpstr>tab_regras</vt:lpstr>
      <vt:lpstr>tab_tipo_projeto</vt:lpstr>
      <vt:lpstr>tab_simulacao</vt:lpstr>
      <vt:lpstr>tab_config</vt:lpstr>
      <vt:lpstr>tab_matriz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Silva Goncalves</dc:creator>
  <cp:lastModifiedBy>Gustavo Silva Goncalves</cp:lastModifiedBy>
  <cp:lastPrinted>2025-12-12T22:26:38Z</cp:lastPrinted>
  <dcterms:created xsi:type="dcterms:W3CDTF">2025-12-08T11:21:03Z</dcterms:created>
  <dcterms:modified xsi:type="dcterms:W3CDTF">2025-12-18T14:42:02Z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0x01010038533DFB514E1E45BE306D4A3AF43461</vt:lpwstr>
  </property>
  <property fmtid="{D5CDD505-2E9C-101B-9397-08002B2CF9AE}" pid="3" name="MediaServiceImageTags">
    <vt:lpwstr/>
  </property>
</Properties>
</file>